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\Desktop\Necessary\Financial Models and Content\How to Create a Portfolio Website for FREE - Alex the Analyst\VBA Projects\"/>
    </mc:Choice>
  </mc:AlternateContent>
  <xr:revisionPtr revIDLastSave="0" documentId="13_ncr:1_{FD4941DA-F630-4FF7-BC0A-4882043C8F1E}" xr6:coauthVersionLast="47" xr6:coauthVersionMax="47" xr10:uidLastSave="{00000000-0000-0000-0000-000000000000}"/>
  <bookViews>
    <workbookView xWindow="-110" yWindow="-110" windowWidth="19420" windowHeight="10420" xr2:uid="{DC52088B-8215-4973-A679-6B7EC1FA0F6D}"/>
  </bookViews>
  <sheets>
    <sheet name="Portfolio Optimization" sheetId="1" r:id="rId1"/>
  </sheets>
  <functionGroups builtInGroupCount="19"/>
  <definedNames>
    <definedName name="solver_adj" localSheetId="0" hidden="1">'Portfolio Optimization'!$AE$33:$AE$38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'Portfolio Optimization'!$AE$33</definedName>
    <definedName name="solver_lhs2" localSheetId="0" hidden="1">'Portfolio Optimization'!$AE$34</definedName>
    <definedName name="solver_lhs3" localSheetId="0" hidden="1">'Portfolio Optimization'!$AE$35</definedName>
    <definedName name="solver_lhs4" localSheetId="0" hidden="1">'Portfolio Optimization'!$AE$36</definedName>
    <definedName name="solver_lhs5" localSheetId="0" hidden="1">'Portfolio Optimization'!$AE$37</definedName>
    <definedName name="solver_lhs6" localSheetId="0" hidden="1">'Portfolio Optimization'!$AE$38</definedName>
    <definedName name="solver_lhs7" localSheetId="0" hidden="1">'Portfolio Optimization'!$AE$39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7</definedName>
    <definedName name="solver_nwt" localSheetId="0" hidden="1">1</definedName>
    <definedName name="solver_opt" localSheetId="0" hidden="1">'Portfolio Optimization'!$AD$43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7" i="1" l="1"/>
  <c r="BV3" i="1"/>
  <c r="E34" i="1"/>
  <c r="D34" i="1"/>
  <c r="C34" i="1"/>
  <c r="B34" i="1"/>
  <c r="E33" i="1"/>
  <c r="D33" i="1"/>
  <c r="C33" i="1"/>
  <c r="B33" i="1"/>
  <c r="BR20" i="1"/>
  <c r="BR21" i="1"/>
  <c r="BS20" i="1"/>
  <c r="BS21" i="1"/>
  <c r="DA3" i="1"/>
  <c r="DB3" i="1"/>
  <c r="DC3" i="1"/>
  <c r="DD3" i="1"/>
  <c r="DE3" i="1"/>
  <c r="DF3" i="1"/>
  <c r="DG3" i="1"/>
  <c r="DH3" i="1"/>
  <c r="DI3" i="1"/>
  <c r="DA4" i="1"/>
  <c r="DB4" i="1"/>
  <c r="DC4" i="1"/>
  <c r="DD4" i="1"/>
  <c r="DE4" i="1"/>
  <c r="DF4" i="1"/>
  <c r="DG4" i="1"/>
  <c r="DH4" i="1"/>
  <c r="DI4" i="1"/>
  <c r="DA5" i="1"/>
  <c r="DB5" i="1"/>
  <c r="DC5" i="1"/>
  <c r="DD5" i="1"/>
  <c r="DE5" i="1"/>
  <c r="DF5" i="1"/>
  <c r="DG5" i="1"/>
  <c r="DH5" i="1"/>
  <c r="DI5" i="1"/>
  <c r="DA6" i="1"/>
  <c r="DB6" i="1"/>
  <c r="DC6" i="1"/>
  <c r="DD6" i="1"/>
  <c r="DE6" i="1"/>
  <c r="DF6" i="1"/>
  <c r="DG6" i="1"/>
  <c r="DH6" i="1"/>
  <c r="DI6" i="1"/>
  <c r="DA7" i="1"/>
  <c r="DB7" i="1"/>
  <c r="DC7" i="1"/>
  <c r="DD7" i="1"/>
  <c r="DE7" i="1"/>
  <c r="DF7" i="1"/>
  <c r="DG7" i="1"/>
  <c r="DH7" i="1"/>
  <c r="DI7" i="1"/>
  <c r="DA8" i="1"/>
  <c r="DB8" i="1"/>
  <c r="DC8" i="1"/>
  <c r="DD8" i="1"/>
  <c r="DE8" i="1"/>
  <c r="DF8" i="1"/>
  <c r="DG8" i="1"/>
  <c r="DH8" i="1"/>
  <c r="DI8" i="1"/>
  <c r="DA9" i="1"/>
  <c r="DB9" i="1"/>
  <c r="DC9" i="1"/>
  <c r="DD9" i="1"/>
  <c r="DE9" i="1"/>
  <c r="DF9" i="1"/>
  <c r="DG9" i="1"/>
  <c r="DH9" i="1"/>
  <c r="DI9" i="1"/>
  <c r="DA10" i="1"/>
  <c r="DB10" i="1"/>
  <c r="DC10" i="1"/>
  <c r="DD10" i="1"/>
  <c r="DE10" i="1"/>
  <c r="DF10" i="1"/>
  <c r="DG10" i="1"/>
  <c r="DH10" i="1"/>
  <c r="DI10" i="1"/>
  <c r="DA11" i="1"/>
  <c r="DB11" i="1"/>
  <c r="DC11" i="1"/>
  <c r="DD11" i="1"/>
  <c r="DE11" i="1"/>
  <c r="DF11" i="1"/>
  <c r="DG11" i="1"/>
  <c r="DH11" i="1"/>
  <c r="DI11" i="1"/>
  <c r="DA12" i="1"/>
  <c r="DB12" i="1"/>
  <c r="DC12" i="1"/>
  <c r="DD12" i="1"/>
  <c r="DE12" i="1"/>
  <c r="DF12" i="1"/>
  <c r="DG12" i="1"/>
  <c r="DH12" i="1"/>
  <c r="DI12" i="1"/>
  <c r="DA13" i="1"/>
  <c r="DB13" i="1"/>
  <c r="DC13" i="1"/>
  <c r="DD13" i="1"/>
  <c r="DE13" i="1"/>
  <c r="DF13" i="1"/>
  <c r="DG13" i="1"/>
  <c r="DH13" i="1"/>
  <c r="DI13" i="1"/>
  <c r="DA14" i="1"/>
  <c r="DB14" i="1"/>
  <c r="DC14" i="1"/>
  <c r="DD14" i="1"/>
  <c r="DE14" i="1"/>
  <c r="DF14" i="1"/>
  <c r="DG14" i="1"/>
  <c r="DH14" i="1"/>
  <c r="DI14" i="1"/>
  <c r="DA15" i="1"/>
  <c r="DB15" i="1"/>
  <c r="DC15" i="1"/>
  <c r="DD15" i="1"/>
  <c r="DE15" i="1"/>
  <c r="DF15" i="1"/>
  <c r="DG15" i="1"/>
  <c r="DH15" i="1"/>
  <c r="DI15" i="1"/>
  <c r="DA16" i="1"/>
  <c r="DB16" i="1"/>
  <c r="DC16" i="1"/>
  <c r="DD16" i="1"/>
  <c r="DE16" i="1"/>
  <c r="DF16" i="1"/>
  <c r="DG16" i="1"/>
  <c r="DH16" i="1"/>
  <c r="DI16" i="1"/>
  <c r="DA17" i="1"/>
  <c r="DB17" i="1"/>
  <c r="DC17" i="1"/>
  <c r="DD17" i="1"/>
  <c r="DE17" i="1"/>
  <c r="DF17" i="1"/>
  <c r="DG17" i="1"/>
  <c r="DH17" i="1"/>
  <c r="DI17" i="1"/>
  <c r="DA18" i="1"/>
  <c r="DB18" i="1"/>
  <c r="DC18" i="1"/>
  <c r="DD18" i="1"/>
  <c r="DE18" i="1"/>
  <c r="DF18" i="1"/>
  <c r="DG18" i="1"/>
  <c r="DH18" i="1"/>
  <c r="DI18" i="1"/>
  <c r="DA19" i="1"/>
  <c r="DB19" i="1"/>
  <c r="DC19" i="1"/>
  <c r="DD19" i="1"/>
  <c r="DE19" i="1"/>
  <c r="DF19" i="1"/>
  <c r="DG19" i="1"/>
  <c r="DH19" i="1"/>
  <c r="DI19" i="1"/>
  <c r="DA20" i="1"/>
  <c r="DB20" i="1"/>
  <c r="DC20" i="1"/>
  <c r="DD20" i="1"/>
  <c r="DE20" i="1"/>
  <c r="DF20" i="1"/>
  <c r="DG20" i="1"/>
  <c r="DH20" i="1"/>
  <c r="DI20" i="1"/>
  <c r="DA21" i="1"/>
  <c r="DB21" i="1"/>
  <c r="DC21" i="1"/>
  <c r="DD21" i="1"/>
  <c r="DE21" i="1"/>
  <c r="DF21" i="1"/>
  <c r="DG21" i="1"/>
  <c r="DH21" i="1"/>
  <c r="DI21" i="1"/>
  <c r="DA22" i="1"/>
  <c r="DB22" i="1"/>
  <c r="DC22" i="1"/>
  <c r="DD22" i="1"/>
  <c r="DE22" i="1"/>
  <c r="DF22" i="1"/>
  <c r="DG22" i="1"/>
  <c r="DH22" i="1"/>
  <c r="DI22" i="1"/>
  <c r="DA23" i="1"/>
  <c r="DB23" i="1"/>
  <c r="DC23" i="1"/>
  <c r="DD23" i="1"/>
  <c r="DE23" i="1"/>
  <c r="DF23" i="1"/>
  <c r="DG23" i="1"/>
  <c r="DH23" i="1"/>
  <c r="DI23" i="1"/>
  <c r="DA24" i="1"/>
  <c r="DB24" i="1"/>
  <c r="DC24" i="1"/>
  <c r="DD24" i="1"/>
  <c r="DE24" i="1"/>
  <c r="DF24" i="1"/>
  <c r="DG24" i="1"/>
  <c r="DH24" i="1"/>
  <c r="DI24" i="1"/>
  <c r="DA25" i="1"/>
  <c r="DB25" i="1"/>
  <c r="DC25" i="1"/>
  <c r="DD25" i="1"/>
  <c r="DE25" i="1"/>
  <c r="DF25" i="1"/>
  <c r="DG25" i="1"/>
  <c r="DH25" i="1"/>
  <c r="DI25" i="1"/>
  <c r="DA26" i="1"/>
  <c r="DB26" i="1"/>
  <c r="DC26" i="1"/>
  <c r="DD26" i="1"/>
  <c r="DE26" i="1"/>
  <c r="DF26" i="1"/>
  <c r="DG26" i="1"/>
  <c r="DH26" i="1"/>
  <c r="DI26" i="1"/>
  <c r="DA27" i="1"/>
  <c r="DB27" i="1"/>
  <c r="DC27" i="1"/>
  <c r="DD27" i="1"/>
  <c r="DE27" i="1"/>
  <c r="DF27" i="1"/>
  <c r="DG27" i="1"/>
  <c r="DH27" i="1"/>
  <c r="DI27" i="1"/>
  <c r="DA28" i="1"/>
  <c r="DB28" i="1"/>
  <c r="DC28" i="1"/>
  <c r="DD28" i="1"/>
  <c r="DE28" i="1"/>
  <c r="DF28" i="1"/>
  <c r="DG28" i="1"/>
  <c r="DH28" i="1"/>
  <c r="DI28" i="1"/>
  <c r="DA29" i="1"/>
  <c r="DB29" i="1"/>
  <c r="DC29" i="1"/>
  <c r="DD29" i="1"/>
  <c r="DE29" i="1"/>
  <c r="DF29" i="1"/>
  <c r="DG29" i="1"/>
  <c r="DH29" i="1"/>
  <c r="DI29" i="1"/>
  <c r="DA30" i="1"/>
  <c r="DB30" i="1"/>
  <c r="DC30" i="1"/>
  <c r="DD30" i="1"/>
  <c r="DE30" i="1"/>
  <c r="DF30" i="1"/>
  <c r="DG30" i="1"/>
  <c r="DH30" i="1"/>
  <c r="DI30" i="1"/>
  <c r="DA31" i="1"/>
  <c r="DB31" i="1"/>
  <c r="DC31" i="1"/>
  <c r="DD31" i="1"/>
  <c r="DE31" i="1"/>
  <c r="DF31" i="1"/>
  <c r="DG31" i="1"/>
  <c r="DH31" i="1"/>
  <c r="DI31" i="1"/>
  <c r="DA32" i="1"/>
  <c r="DB32" i="1"/>
  <c r="DC32" i="1"/>
  <c r="DD32" i="1"/>
  <c r="DE32" i="1"/>
  <c r="DF32" i="1"/>
  <c r="DG32" i="1"/>
  <c r="DH32" i="1"/>
  <c r="DI32" i="1"/>
  <c r="DA33" i="1"/>
  <c r="DB33" i="1"/>
  <c r="DC33" i="1"/>
  <c r="DD33" i="1"/>
  <c r="DE33" i="1"/>
  <c r="DF33" i="1"/>
  <c r="DG33" i="1"/>
  <c r="DH33" i="1"/>
  <c r="DI33" i="1"/>
  <c r="DA34" i="1"/>
  <c r="DB34" i="1"/>
  <c r="DC34" i="1"/>
  <c r="DD34" i="1"/>
  <c r="DE34" i="1"/>
  <c r="DF34" i="1"/>
  <c r="DG34" i="1"/>
  <c r="DH34" i="1"/>
  <c r="DI34" i="1"/>
  <c r="DA35" i="1"/>
  <c r="DB35" i="1"/>
  <c r="DC35" i="1"/>
  <c r="DD35" i="1"/>
  <c r="DE35" i="1"/>
  <c r="DF35" i="1"/>
  <c r="DG35" i="1"/>
  <c r="DH35" i="1"/>
  <c r="DI35" i="1"/>
  <c r="DA36" i="1"/>
  <c r="DB36" i="1"/>
  <c r="DC36" i="1"/>
  <c r="DD36" i="1"/>
  <c r="DE36" i="1"/>
  <c r="DF36" i="1"/>
  <c r="DG36" i="1"/>
  <c r="DH36" i="1"/>
  <c r="DI36" i="1"/>
  <c r="DA37" i="1"/>
  <c r="DB37" i="1"/>
  <c r="DC37" i="1"/>
  <c r="DD37" i="1"/>
  <c r="DE37" i="1"/>
  <c r="DF37" i="1"/>
  <c r="DG37" i="1"/>
  <c r="DH37" i="1"/>
  <c r="DI37" i="1"/>
  <c r="DA38" i="1"/>
  <c r="DB38" i="1"/>
  <c r="DC38" i="1"/>
  <c r="DD38" i="1"/>
  <c r="DE38" i="1"/>
  <c r="DF38" i="1"/>
  <c r="DG38" i="1"/>
  <c r="DH38" i="1"/>
  <c r="DI38" i="1"/>
  <c r="DA39" i="1"/>
  <c r="DB39" i="1"/>
  <c r="DC39" i="1"/>
  <c r="DD39" i="1"/>
  <c r="DE39" i="1"/>
  <c r="DF39" i="1"/>
  <c r="DG39" i="1"/>
  <c r="DH39" i="1"/>
  <c r="DI39" i="1"/>
  <c r="DA40" i="1"/>
  <c r="DB40" i="1"/>
  <c r="DC40" i="1"/>
  <c r="DD40" i="1"/>
  <c r="DE40" i="1"/>
  <c r="DF40" i="1"/>
  <c r="DG40" i="1"/>
  <c r="DH40" i="1"/>
  <c r="DI40" i="1"/>
  <c r="DA41" i="1"/>
  <c r="DB41" i="1"/>
  <c r="DC41" i="1"/>
  <c r="DD41" i="1"/>
  <c r="DE41" i="1"/>
  <c r="DF41" i="1"/>
  <c r="DG41" i="1"/>
  <c r="DH41" i="1"/>
  <c r="DI41" i="1"/>
  <c r="DA42" i="1"/>
  <c r="DB42" i="1"/>
  <c r="DC42" i="1"/>
  <c r="DD42" i="1"/>
  <c r="DE42" i="1"/>
  <c r="DF42" i="1"/>
  <c r="DG42" i="1"/>
  <c r="DH42" i="1"/>
  <c r="DI42" i="1"/>
  <c r="DA43" i="1"/>
  <c r="DB43" i="1"/>
  <c r="DC43" i="1"/>
  <c r="DD43" i="1"/>
  <c r="DE43" i="1"/>
  <c r="DF43" i="1"/>
  <c r="DG43" i="1"/>
  <c r="DH43" i="1"/>
  <c r="DI43" i="1"/>
  <c r="DA44" i="1"/>
  <c r="DB44" i="1"/>
  <c r="DC44" i="1"/>
  <c r="DD44" i="1"/>
  <c r="DE44" i="1"/>
  <c r="DF44" i="1"/>
  <c r="DG44" i="1"/>
  <c r="DH44" i="1"/>
  <c r="DI44" i="1"/>
  <c r="DA45" i="1"/>
  <c r="DB45" i="1"/>
  <c r="DC45" i="1"/>
  <c r="DD45" i="1"/>
  <c r="DE45" i="1"/>
  <c r="DF45" i="1"/>
  <c r="DG45" i="1"/>
  <c r="DH45" i="1"/>
  <c r="DI45" i="1"/>
  <c r="DA46" i="1"/>
  <c r="DB46" i="1"/>
  <c r="DC46" i="1"/>
  <c r="DD46" i="1"/>
  <c r="DE46" i="1"/>
  <c r="DF46" i="1"/>
  <c r="DG46" i="1"/>
  <c r="DH46" i="1"/>
  <c r="DI46" i="1"/>
  <c r="DA47" i="1"/>
  <c r="DB47" i="1"/>
  <c r="DC47" i="1"/>
  <c r="DD47" i="1"/>
  <c r="DE47" i="1"/>
  <c r="DF47" i="1"/>
  <c r="DG47" i="1"/>
  <c r="DH47" i="1"/>
  <c r="DI47" i="1"/>
  <c r="DA48" i="1"/>
  <c r="DB48" i="1"/>
  <c r="DC48" i="1"/>
  <c r="DD48" i="1"/>
  <c r="DE48" i="1"/>
  <c r="DF48" i="1"/>
  <c r="DG48" i="1"/>
  <c r="DH48" i="1"/>
  <c r="DI48" i="1"/>
  <c r="DA49" i="1"/>
  <c r="DB49" i="1"/>
  <c r="DC49" i="1"/>
  <c r="DD49" i="1"/>
  <c r="DE49" i="1"/>
  <c r="DF49" i="1"/>
  <c r="DG49" i="1"/>
  <c r="DH49" i="1"/>
  <c r="DI49" i="1"/>
  <c r="DA50" i="1"/>
  <c r="DB50" i="1"/>
  <c r="DC50" i="1"/>
  <c r="DD50" i="1"/>
  <c r="DE50" i="1"/>
  <c r="DF50" i="1"/>
  <c r="DG50" i="1"/>
  <c r="DH50" i="1"/>
  <c r="DI50" i="1"/>
  <c r="DA51" i="1"/>
  <c r="DB51" i="1"/>
  <c r="DC51" i="1"/>
  <c r="DD51" i="1"/>
  <c r="DE51" i="1"/>
  <c r="DF51" i="1"/>
  <c r="DG51" i="1"/>
  <c r="DH51" i="1"/>
  <c r="DI51" i="1"/>
  <c r="DA52" i="1"/>
  <c r="DB52" i="1"/>
  <c r="DC52" i="1"/>
  <c r="DD52" i="1"/>
  <c r="DE52" i="1"/>
  <c r="DF52" i="1"/>
  <c r="DG52" i="1"/>
  <c r="DH52" i="1"/>
  <c r="DI52" i="1"/>
  <c r="DA53" i="1"/>
  <c r="DB53" i="1"/>
  <c r="DC53" i="1"/>
  <c r="DD53" i="1"/>
  <c r="DE53" i="1"/>
  <c r="DF53" i="1"/>
  <c r="DG53" i="1"/>
  <c r="DH53" i="1"/>
  <c r="DI53" i="1"/>
  <c r="DA54" i="1"/>
  <c r="DB54" i="1"/>
  <c r="DC54" i="1"/>
  <c r="DD54" i="1"/>
  <c r="DE54" i="1"/>
  <c r="DF54" i="1"/>
  <c r="DG54" i="1"/>
  <c r="DH54" i="1"/>
  <c r="DI54" i="1"/>
  <c r="DA55" i="1"/>
  <c r="DB55" i="1"/>
  <c r="DC55" i="1"/>
  <c r="DD55" i="1"/>
  <c r="DE55" i="1"/>
  <c r="DF55" i="1"/>
  <c r="DG55" i="1"/>
  <c r="DH55" i="1"/>
  <c r="DI55" i="1"/>
  <c r="DA56" i="1"/>
  <c r="DB56" i="1"/>
  <c r="DC56" i="1"/>
  <c r="DD56" i="1"/>
  <c r="DE56" i="1"/>
  <c r="DF56" i="1"/>
  <c r="DG56" i="1"/>
  <c r="DH56" i="1"/>
  <c r="DI56" i="1"/>
  <c r="DA57" i="1"/>
  <c r="DB57" i="1"/>
  <c r="DC57" i="1"/>
  <c r="DD57" i="1"/>
  <c r="DE57" i="1"/>
  <c r="DF57" i="1"/>
  <c r="DG57" i="1"/>
  <c r="DH57" i="1"/>
  <c r="DI57" i="1"/>
  <c r="DA58" i="1"/>
  <c r="DB58" i="1"/>
  <c r="DC58" i="1"/>
  <c r="DD58" i="1"/>
  <c r="DE58" i="1"/>
  <c r="DF58" i="1"/>
  <c r="DG58" i="1"/>
  <c r="DH58" i="1"/>
  <c r="DI58" i="1"/>
  <c r="DA59" i="1"/>
  <c r="DB59" i="1"/>
  <c r="DC59" i="1"/>
  <c r="DD59" i="1"/>
  <c r="DE59" i="1"/>
  <c r="DF59" i="1"/>
  <c r="DG59" i="1"/>
  <c r="DH59" i="1"/>
  <c r="DI59" i="1"/>
  <c r="DA60" i="1"/>
  <c r="DB60" i="1"/>
  <c r="DC60" i="1"/>
  <c r="DD60" i="1"/>
  <c r="DE60" i="1"/>
  <c r="DF60" i="1"/>
  <c r="DG60" i="1"/>
  <c r="DH60" i="1"/>
  <c r="DI60" i="1"/>
  <c r="DA61" i="1"/>
  <c r="DB61" i="1"/>
  <c r="DC61" i="1"/>
  <c r="DD61" i="1"/>
  <c r="DE61" i="1"/>
  <c r="DF61" i="1"/>
  <c r="DG61" i="1"/>
  <c r="DH61" i="1"/>
  <c r="DI61" i="1"/>
  <c r="DA62" i="1"/>
  <c r="DB62" i="1"/>
  <c r="DC62" i="1"/>
  <c r="DD62" i="1"/>
  <c r="DE62" i="1"/>
  <c r="DF62" i="1"/>
  <c r="DG62" i="1"/>
  <c r="DH62" i="1"/>
  <c r="DI62" i="1"/>
  <c r="DA63" i="1"/>
  <c r="DB63" i="1"/>
  <c r="DC63" i="1"/>
  <c r="DD63" i="1"/>
  <c r="DE63" i="1"/>
  <c r="DF63" i="1"/>
  <c r="DG63" i="1"/>
  <c r="DH63" i="1"/>
  <c r="DI63" i="1"/>
  <c r="DA64" i="1"/>
  <c r="DB64" i="1"/>
  <c r="DC64" i="1"/>
  <c r="DD64" i="1"/>
  <c r="DE64" i="1"/>
  <c r="DF64" i="1"/>
  <c r="DG64" i="1"/>
  <c r="DH64" i="1"/>
  <c r="DI64" i="1"/>
  <c r="DA65" i="1"/>
  <c r="DB65" i="1"/>
  <c r="DC65" i="1"/>
  <c r="DD65" i="1"/>
  <c r="DE65" i="1"/>
  <c r="DF65" i="1"/>
  <c r="DG65" i="1"/>
  <c r="DH65" i="1"/>
  <c r="DI65" i="1"/>
  <c r="DA66" i="1"/>
  <c r="DB66" i="1"/>
  <c r="DC66" i="1"/>
  <c r="DD66" i="1"/>
  <c r="DE66" i="1"/>
  <c r="DF66" i="1"/>
  <c r="DG66" i="1"/>
  <c r="DH66" i="1"/>
  <c r="DI66" i="1"/>
  <c r="DA67" i="1"/>
  <c r="DB67" i="1"/>
  <c r="DC67" i="1"/>
  <c r="DD67" i="1"/>
  <c r="DE67" i="1"/>
  <c r="DF67" i="1"/>
  <c r="DG67" i="1"/>
  <c r="DH67" i="1"/>
  <c r="DI67" i="1"/>
  <c r="DA68" i="1"/>
  <c r="DB68" i="1"/>
  <c r="DC68" i="1"/>
  <c r="DD68" i="1"/>
  <c r="DE68" i="1"/>
  <c r="DF68" i="1"/>
  <c r="DG68" i="1"/>
  <c r="DH68" i="1"/>
  <c r="DI68" i="1"/>
  <c r="DA69" i="1"/>
  <c r="DB69" i="1"/>
  <c r="DC69" i="1"/>
  <c r="DD69" i="1"/>
  <c r="DE69" i="1"/>
  <c r="DF69" i="1"/>
  <c r="DG69" i="1"/>
  <c r="DH69" i="1"/>
  <c r="DI69" i="1"/>
  <c r="DA70" i="1"/>
  <c r="DB70" i="1"/>
  <c r="DC70" i="1"/>
  <c r="DD70" i="1"/>
  <c r="DE70" i="1"/>
  <c r="DF70" i="1"/>
  <c r="DG70" i="1"/>
  <c r="DH70" i="1"/>
  <c r="DI70" i="1"/>
  <c r="DA71" i="1"/>
  <c r="DB71" i="1"/>
  <c r="DC71" i="1"/>
  <c r="DD71" i="1"/>
  <c r="DE71" i="1"/>
  <c r="DF71" i="1"/>
  <c r="DG71" i="1"/>
  <c r="DH71" i="1"/>
  <c r="DI71" i="1"/>
  <c r="DA72" i="1"/>
  <c r="DB72" i="1"/>
  <c r="DC72" i="1"/>
  <c r="DD72" i="1"/>
  <c r="DE72" i="1"/>
  <c r="DF72" i="1"/>
  <c r="DG72" i="1"/>
  <c r="DH72" i="1"/>
  <c r="DI72" i="1"/>
  <c r="DA73" i="1"/>
  <c r="DB73" i="1"/>
  <c r="DC73" i="1"/>
  <c r="DD73" i="1"/>
  <c r="DE73" i="1"/>
  <c r="DF73" i="1"/>
  <c r="DG73" i="1"/>
  <c r="DH73" i="1"/>
  <c r="DI73" i="1"/>
  <c r="DA74" i="1"/>
  <c r="DB74" i="1"/>
  <c r="DC74" i="1"/>
  <c r="DD74" i="1"/>
  <c r="DE74" i="1"/>
  <c r="DF74" i="1"/>
  <c r="DG74" i="1"/>
  <c r="DH74" i="1"/>
  <c r="DI74" i="1"/>
  <c r="DA75" i="1"/>
  <c r="DB75" i="1"/>
  <c r="DC75" i="1"/>
  <c r="DD75" i="1"/>
  <c r="DE75" i="1"/>
  <c r="DF75" i="1"/>
  <c r="DG75" i="1"/>
  <c r="DH75" i="1"/>
  <c r="DI75" i="1"/>
  <c r="DA76" i="1"/>
  <c r="DB76" i="1"/>
  <c r="DC76" i="1"/>
  <c r="DD76" i="1"/>
  <c r="DE76" i="1"/>
  <c r="DF76" i="1"/>
  <c r="DG76" i="1"/>
  <c r="DH76" i="1"/>
  <c r="DI76" i="1"/>
  <c r="DA77" i="1"/>
  <c r="DB77" i="1"/>
  <c r="DC77" i="1"/>
  <c r="DD77" i="1"/>
  <c r="DE77" i="1"/>
  <c r="DF77" i="1"/>
  <c r="DG77" i="1"/>
  <c r="DH77" i="1"/>
  <c r="DI77" i="1"/>
  <c r="DA78" i="1"/>
  <c r="DB78" i="1"/>
  <c r="DC78" i="1"/>
  <c r="DD78" i="1"/>
  <c r="DE78" i="1"/>
  <c r="DF78" i="1"/>
  <c r="DG78" i="1"/>
  <c r="DH78" i="1"/>
  <c r="DI78" i="1"/>
  <c r="DA79" i="1"/>
  <c r="DB79" i="1"/>
  <c r="DC79" i="1"/>
  <c r="DD79" i="1"/>
  <c r="DE79" i="1"/>
  <c r="DF79" i="1"/>
  <c r="DG79" i="1"/>
  <c r="DH79" i="1"/>
  <c r="DI79" i="1"/>
  <c r="DA80" i="1"/>
  <c r="DB80" i="1"/>
  <c r="DC80" i="1"/>
  <c r="DD80" i="1"/>
  <c r="DE80" i="1"/>
  <c r="DF80" i="1"/>
  <c r="DG80" i="1"/>
  <c r="DH80" i="1"/>
  <c r="DI80" i="1"/>
  <c r="DA81" i="1"/>
  <c r="DB81" i="1"/>
  <c r="DC81" i="1"/>
  <c r="DD81" i="1"/>
  <c r="DE81" i="1"/>
  <c r="DF81" i="1"/>
  <c r="DG81" i="1"/>
  <c r="DH81" i="1"/>
  <c r="DI81" i="1"/>
  <c r="DA82" i="1"/>
  <c r="DB82" i="1"/>
  <c r="DC82" i="1"/>
  <c r="DD82" i="1"/>
  <c r="DE82" i="1"/>
  <c r="DF82" i="1"/>
  <c r="DG82" i="1"/>
  <c r="DH82" i="1"/>
  <c r="DI82" i="1"/>
  <c r="DA83" i="1"/>
  <c r="DB83" i="1"/>
  <c r="DC83" i="1"/>
  <c r="DD83" i="1"/>
  <c r="DE83" i="1"/>
  <c r="DF83" i="1"/>
  <c r="DG83" i="1"/>
  <c r="DH83" i="1"/>
  <c r="DI83" i="1"/>
  <c r="DA84" i="1"/>
  <c r="DB84" i="1"/>
  <c r="DC84" i="1"/>
  <c r="DD84" i="1"/>
  <c r="DE84" i="1"/>
  <c r="DF84" i="1"/>
  <c r="DG84" i="1"/>
  <c r="DH84" i="1"/>
  <c r="DI84" i="1"/>
  <c r="DA85" i="1"/>
  <c r="DB85" i="1"/>
  <c r="DC85" i="1"/>
  <c r="DD85" i="1"/>
  <c r="DE85" i="1"/>
  <c r="DF85" i="1"/>
  <c r="DG85" i="1"/>
  <c r="DH85" i="1"/>
  <c r="DI85" i="1"/>
  <c r="DA86" i="1"/>
  <c r="DB86" i="1"/>
  <c r="DC86" i="1"/>
  <c r="DD86" i="1"/>
  <c r="DE86" i="1"/>
  <c r="DF86" i="1"/>
  <c r="DG86" i="1"/>
  <c r="DH86" i="1"/>
  <c r="DI86" i="1"/>
  <c r="DA87" i="1"/>
  <c r="DB87" i="1"/>
  <c r="DC87" i="1"/>
  <c r="DD87" i="1"/>
  <c r="DE87" i="1"/>
  <c r="DF87" i="1"/>
  <c r="DG87" i="1"/>
  <c r="DH87" i="1"/>
  <c r="DI87" i="1"/>
  <c r="DA88" i="1"/>
  <c r="DB88" i="1"/>
  <c r="DC88" i="1"/>
  <c r="DD88" i="1"/>
  <c r="DE88" i="1"/>
  <c r="DF88" i="1"/>
  <c r="DG88" i="1"/>
  <c r="DH88" i="1"/>
  <c r="DI88" i="1"/>
  <c r="DA89" i="1"/>
  <c r="DB89" i="1"/>
  <c r="DC89" i="1"/>
  <c r="DD89" i="1"/>
  <c r="DE89" i="1"/>
  <c r="DF89" i="1"/>
  <c r="DG89" i="1"/>
  <c r="DH89" i="1"/>
  <c r="DI89" i="1"/>
  <c r="DA90" i="1"/>
  <c r="DB90" i="1"/>
  <c r="DC90" i="1"/>
  <c r="DD90" i="1"/>
  <c r="DE90" i="1"/>
  <c r="DF90" i="1"/>
  <c r="DG90" i="1"/>
  <c r="DH90" i="1"/>
  <c r="DI90" i="1"/>
  <c r="DA91" i="1"/>
  <c r="DB91" i="1"/>
  <c r="DC91" i="1"/>
  <c r="DD91" i="1"/>
  <c r="DE91" i="1"/>
  <c r="DF91" i="1"/>
  <c r="DG91" i="1"/>
  <c r="DH91" i="1"/>
  <c r="DI91" i="1"/>
  <c r="DA92" i="1"/>
  <c r="DB92" i="1"/>
  <c r="DC92" i="1"/>
  <c r="DD92" i="1"/>
  <c r="DE92" i="1"/>
  <c r="DF92" i="1"/>
  <c r="DG92" i="1"/>
  <c r="DH92" i="1"/>
  <c r="DI92" i="1"/>
  <c r="DA93" i="1"/>
  <c r="DB93" i="1"/>
  <c r="DC93" i="1"/>
  <c r="DD93" i="1"/>
  <c r="DE93" i="1"/>
  <c r="DF93" i="1"/>
  <c r="DG93" i="1"/>
  <c r="DH93" i="1"/>
  <c r="DI93" i="1"/>
  <c r="DA94" i="1"/>
  <c r="DB94" i="1"/>
  <c r="DC94" i="1"/>
  <c r="DD94" i="1"/>
  <c r="DE94" i="1"/>
  <c r="DF94" i="1"/>
  <c r="DG94" i="1"/>
  <c r="DH94" i="1"/>
  <c r="DI94" i="1"/>
  <c r="DA95" i="1"/>
  <c r="DB95" i="1"/>
  <c r="DC95" i="1"/>
  <c r="DD95" i="1"/>
  <c r="DE95" i="1"/>
  <c r="DF95" i="1"/>
  <c r="DG95" i="1"/>
  <c r="DH95" i="1"/>
  <c r="DI95" i="1"/>
  <c r="DA96" i="1"/>
  <c r="DB96" i="1"/>
  <c r="DC96" i="1"/>
  <c r="DD96" i="1"/>
  <c r="DE96" i="1"/>
  <c r="DF96" i="1"/>
  <c r="DG96" i="1"/>
  <c r="DH96" i="1"/>
  <c r="DI96" i="1"/>
  <c r="DA97" i="1"/>
  <c r="DB97" i="1"/>
  <c r="DC97" i="1"/>
  <c r="DD97" i="1"/>
  <c r="DE97" i="1"/>
  <c r="DF97" i="1"/>
  <c r="DG97" i="1"/>
  <c r="DH97" i="1"/>
  <c r="DI97" i="1"/>
  <c r="DA98" i="1"/>
  <c r="DB98" i="1"/>
  <c r="DC98" i="1"/>
  <c r="DD98" i="1"/>
  <c r="DE98" i="1"/>
  <c r="DF98" i="1"/>
  <c r="DG98" i="1"/>
  <c r="DH98" i="1"/>
  <c r="DI98" i="1"/>
  <c r="DA99" i="1"/>
  <c r="DB99" i="1"/>
  <c r="DC99" i="1"/>
  <c r="DD99" i="1"/>
  <c r="DE99" i="1"/>
  <c r="DF99" i="1"/>
  <c r="DG99" i="1"/>
  <c r="DH99" i="1"/>
  <c r="DI99" i="1"/>
  <c r="DA100" i="1"/>
  <c r="DB100" i="1"/>
  <c r="DC100" i="1"/>
  <c r="DD100" i="1"/>
  <c r="DE100" i="1"/>
  <c r="DF100" i="1"/>
  <c r="DG100" i="1"/>
  <c r="DH100" i="1"/>
  <c r="DI100" i="1"/>
  <c r="DA101" i="1"/>
  <c r="DB101" i="1"/>
  <c r="DC101" i="1"/>
  <c r="DD101" i="1"/>
  <c r="DE101" i="1"/>
  <c r="DF101" i="1"/>
  <c r="DG101" i="1"/>
  <c r="DH101" i="1"/>
  <c r="DI101" i="1"/>
  <c r="DA102" i="1"/>
  <c r="DB102" i="1"/>
  <c r="DC102" i="1"/>
  <c r="DD102" i="1"/>
  <c r="DE102" i="1"/>
  <c r="DF102" i="1"/>
  <c r="DG102" i="1"/>
  <c r="DH102" i="1"/>
  <c r="DI102" i="1"/>
  <c r="DA103" i="1"/>
  <c r="DB103" i="1"/>
  <c r="DC103" i="1"/>
  <c r="DD103" i="1"/>
  <c r="DE103" i="1"/>
  <c r="DF103" i="1"/>
  <c r="DG103" i="1"/>
  <c r="DH103" i="1"/>
  <c r="DI103" i="1"/>
  <c r="DA104" i="1"/>
  <c r="DB104" i="1"/>
  <c r="DC104" i="1"/>
  <c r="DD104" i="1"/>
  <c r="DE104" i="1"/>
  <c r="DF104" i="1"/>
  <c r="DG104" i="1"/>
  <c r="DH104" i="1"/>
  <c r="DI104" i="1"/>
  <c r="DA105" i="1"/>
  <c r="DB105" i="1"/>
  <c r="DC105" i="1"/>
  <c r="DD105" i="1"/>
  <c r="DE105" i="1"/>
  <c r="DF105" i="1"/>
  <c r="DG105" i="1"/>
  <c r="DH105" i="1"/>
  <c r="DI105" i="1"/>
  <c r="DA106" i="1"/>
  <c r="DB106" i="1"/>
  <c r="DC106" i="1"/>
  <c r="DD106" i="1"/>
  <c r="DE106" i="1"/>
  <c r="DF106" i="1"/>
  <c r="DG106" i="1"/>
  <c r="DH106" i="1"/>
  <c r="DI106" i="1"/>
  <c r="DA107" i="1"/>
  <c r="DB107" i="1"/>
  <c r="DC107" i="1"/>
  <c r="DD107" i="1"/>
  <c r="DE107" i="1"/>
  <c r="DF107" i="1"/>
  <c r="DG107" i="1"/>
  <c r="DH107" i="1"/>
  <c r="DI107" i="1"/>
  <c r="DA108" i="1"/>
  <c r="DB108" i="1"/>
  <c r="DC108" i="1"/>
  <c r="DD108" i="1"/>
  <c r="DE108" i="1"/>
  <c r="DF108" i="1"/>
  <c r="DG108" i="1"/>
  <c r="DH108" i="1"/>
  <c r="DI108" i="1"/>
  <c r="DA109" i="1"/>
  <c r="DB109" i="1"/>
  <c r="DC109" i="1"/>
  <c r="DD109" i="1"/>
  <c r="DE109" i="1"/>
  <c r="DF109" i="1"/>
  <c r="DG109" i="1"/>
  <c r="DH109" i="1"/>
  <c r="DI109" i="1"/>
  <c r="DA110" i="1"/>
  <c r="DB110" i="1"/>
  <c r="DC110" i="1"/>
  <c r="DD110" i="1"/>
  <c r="DE110" i="1"/>
  <c r="DF110" i="1"/>
  <c r="DG110" i="1"/>
  <c r="DH110" i="1"/>
  <c r="DI110" i="1"/>
  <c r="DA111" i="1"/>
  <c r="DB111" i="1"/>
  <c r="DC111" i="1"/>
  <c r="DD111" i="1"/>
  <c r="DE111" i="1"/>
  <c r="DF111" i="1"/>
  <c r="DG111" i="1"/>
  <c r="DH111" i="1"/>
  <c r="DI111" i="1"/>
  <c r="DA112" i="1"/>
  <c r="DB112" i="1"/>
  <c r="DC112" i="1"/>
  <c r="DD112" i="1"/>
  <c r="DE112" i="1"/>
  <c r="DF112" i="1"/>
  <c r="DG112" i="1"/>
  <c r="DH112" i="1"/>
  <c r="DI112" i="1"/>
  <c r="DA113" i="1"/>
  <c r="DB113" i="1"/>
  <c r="DC113" i="1"/>
  <c r="DD113" i="1"/>
  <c r="DE113" i="1"/>
  <c r="DF113" i="1"/>
  <c r="DG113" i="1"/>
  <c r="DH113" i="1"/>
  <c r="DI113" i="1"/>
  <c r="DA114" i="1"/>
  <c r="DB114" i="1"/>
  <c r="DC114" i="1"/>
  <c r="DD114" i="1"/>
  <c r="DE114" i="1"/>
  <c r="DF114" i="1"/>
  <c r="DG114" i="1"/>
  <c r="DH114" i="1"/>
  <c r="DI114" i="1"/>
  <c r="DA115" i="1"/>
  <c r="DB115" i="1"/>
  <c r="DC115" i="1"/>
  <c r="DD115" i="1"/>
  <c r="DE115" i="1"/>
  <c r="DF115" i="1"/>
  <c r="DG115" i="1"/>
  <c r="DH115" i="1"/>
  <c r="DI115" i="1"/>
  <c r="DA116" i="1"/>
  <c r="DB116" i="1"/>
  <c r="DC116" i="1"/>
  <c r="DD116" i="1"/>
  <c r="DE116" i="1"/>
  <c r="DF116" i="1"/>
  <c r="DG116" i="1"/>
  <c r="DH116" i="1"/>
  <c r="DI116" i="1"/>
  <c r="DA117" i="1"/>
  <c r="DB117" i="1"/>
  <c r="DC117" i="1"/>
  <c r="DD117" i="1"/>
  <c r="DE117" i="1"/>
  <c r="DF117" i="1"/>
  <c r="DG117" i="1"/>
  <c r="DH117" i="1"/>
  <c r="DI117" i="1"/>
  <c r="DA118" i="1"/>
  <c r="DB118" i="1"/>
  <c r="DC118" i="1"/>
  <c r="DD118" i="1"/>
  <c r="DE118" i="1"/>
  <c r="DF118" i="1"/>
  <c r="DG118" i="1"/>
  <c r="DH118" i="1"/>
  <c r="DI118" i="1"/>
  <c r="DA119" i="1"/>
  <c r="DB119" i="1"/>
  <c r="DC119" i="1"/>
  <c r="DD119" i="1"/>
  <c r="DE119" i="1"/>
  <c r="DF119" i="1"/>
  <c r="DG119" i="1"/>
  <c r="DH119" i="1"/>
  <c r="DI119" i="1"/>
  <c r="DA120" i="1"/>
  <c r="DB120" i="1"/>
  <c r="DC120" i="1"/>
  <c r="DD120" i="1"/>
  <c r="DE120" i="1"/>
  <c r="DF120" i="1"/>
  <c r="DG120" i="1"/>
  <c r="DH120" i="1"/>
  <c r="DI120" i="1"/>
  <c r="DA121" i="1"/>
  <c r="DB121" i="1"/>
  <c r="DC121" i="1"/>
  <c r="DD121" i="1"/>
  <c r="DE121" i="1"/>
  <c r="DF121" i="1"/>
  <c r="DG121" i="1"/>
  <c r="DH121" i="1"/>
  <c r="DI121" i="1"/>
  <c r="DA122" i="1"/>
  <c r="DB122" i="1"/>
  <c r="DC122" i="1"/>
  <c r="DD122" i="1"/>
  <c r="DE122" i="1"/>
  <c r="DF122" i="1"/>
  <c r="DG122" i="1"/>
  <c r="DH122" i="1"/>
  <c r="DI122" i="1"/>
  <c r="DA123" i="1"/>
  <c r="DB123" i="1"/>
  <c r="DC123" i="1"/>
  <c r="DD123" i="1"/>
  <c r="DE123" i="1"/>
  <c r="DF123" i="1"/>
  <c r="DG123" i="1"/>
  <c r="DH123" i="1"/>
  <c r="DI123" i="1"/>
  <c r="DA124" i="1"/>
  <c r="DB124" i="1"/>
  <c r="DC124" i="1"/>
  <c r="DD124" i="1"/>
  <c r="DE124" i="1"/>
  <c r="DF124" i="1"/>
  <c r="DG124" i="1"/>
  <c r="DH124" i="1"/>
  <c r="DI124" i="1"/>
  <c r="DA125" i="1"/>
  <c r="DB125" i="1"/>
  <c r="DC125" i="1"/>
  <c r="DD125" i="1"/>
  <c r="DE125" i="1"/>
  <c r="DF125" i="1"/>
  <c r="DG125" i="1"/>
  <c r="DH125" i="1"/>
  <c r="DI125" i="1"/>
  <c r="DA126" i="1"/>
  <c r="DB126" i="1"/>
  <c r="DC126" i="1"/>
  <c r="DD126" i="1"/>
  <c r="DE126" i="1"/>
  <c r="DF126" i="1"/>
  <c r="DG126" i="1"/>
  <c r="DH126" i="1"/>
  <c r="DI126" i="1"/>
  <c r="DA127" i="1"/>
  <c r="DB127" i="1"/>
  <c r="DC127" i="1"/>
  <c r="DD127" i="1"/>
  <c r="DE127" i="1"/>
  <c r="DF127" i="1"/>
  <c r="DG127" i="1"/>
  <c r="DH127" i="1"/>
  <c r="DI127" i="1"/>
  <c r="DA128" i="1"/>
  <c r="DB128" i="1"/>
  <c r="DC128" i="1"/>
  <c r="DD128" i="1"/>
  <c r="DE128" i="1"/>
  <c r="DF128" i="1"/>
  <c r="DG128" i="1"/>
  <c r="DH128" i="1"/>
  <c r="DI128" i="1"/>
  <c r="DA129" i="1"/>
  <c r="DB129" i="1"/>
  <c r="DC129" i="1"/>
  <c r="DD129" i="1"/>
  <c r="DE129" i="1"/>
  <c r="DF129" i="1"/>
  <c r="DG129" i="1"/>
  <c r="DH129" i="1"/>
  <c r="DI129" i="1"/>
  <c r="DA130" i="1"/>
  <c r="DB130" i="1"/>
  <c r="DC130" i="1"/>
  <c r="DD130" i="1"/>
  <c r="DE130" i="1"/>
  <c r="DF130" i="1"/>
  <c r="DG130" i="1"/>
  <c r="DH130" i="1"/>
  <c r="DI130" i="1"/>
  <c r="DA131" i="1"/>
  <c r="DB131" i="1"/>
  <c r="DC131" i="1"/>
  <c r="DD131" i="1"/>
  <c r="DE131" i="1"/>
  <c r="DF131" i="1"/>
  <c r="DG131" i="1"/>
  <c r="DH131" i="1"/>
  <c r="DI131" i="1"/>
  <c r="DA132" i="1"/>
  <c r="DB132" i="1"/>
  <c r="DC132" i="1"/>
  <c r="DD132" i="1"/>
  <c r="DE132" i="1"/>
  <c r="DF132" i="1"/>
  <c r="DG132" i="1"/>
  <c r="DH132" i="1"/>
  <c r="DI132" i="1"/>
  <c r="DA133" i="1"/>
  <c r="DB133" i="1"/>
  <c r="DC133" i="1"/>
  <c r="DD133" i="1"/>
  <c r="DE133" i="1"/>
  <c r="DF133" i="1"/>
  <c r="DG133" i="1"/>
  <c r="DH133" i="1"/>
  <c r="DI133" i="1"/>
  <c r="DA134" i="1"/>
  <c r="DB134" i="1"/>
  <c r="DC134" i="1"/>
  <c r="DD134" i="1"/>
  <c r="DE134" i="1"/>
  <c r="DF134" i="1"/>
  <c r="DG134" i="1"/>
  <c r="DH134" i="1"/>
  <c r="DI134" i="1"/>
  <c r="DA135" i="1"/>
  <c r="DB135" i="1"/>
  <c r="DC135" i="1"/>
  <c r="DD135" i="1"/>
  <c r="DE135" i="1"/>
  <c r="DF135" i="1"/>
  <c r="DG135" i="1"/>
  <c r="DH135" i="1"/>
  <c r="DI135" i="1"/>
  <c r="DA136" i="1"/>
  <c r="DB136" i="1"/>
  <c r="DC136" i="1"/>
  <c r="DD136" i="1"/>
  <c r="DE136" i="1"/>
  <c r="DF136" i="1"/>
  <c r="DG136" i="1"/>
  <c r="DH136" i="1"/>
  <c r="DI136" i="1"/>
  <c r="DA137" i="1"/>
  <c r="DB137" i="1"/>
  <c r="DC137" i="1"/>
  <c r="DD137" i="1"/>
  <c r="DE137" i="1"/>
  <c r="DF137" i="1"/>
  <c r="DG137" i="1"/>
  <c r="DH137" i="1"/>
  <c r="DI137" i="1"/>
  <c r="DA138" i="1"/>
  <c r="DB138" i="1"/>
  <c r="DC138" i="1"/>
  <c r="DD138" i="1"/>
  <c r="DE138" i="1"/>
  <c r="DF138" i="1"/>
  <c r="DG138" i="1"/>
  <c r="DH138" i="1"/>
  <c r="DI138" i="1"/>
  <c r="DA139" i="1"/>
  <c r="DB139" i="1"/>
  <c r="DC139" i="1"/>
  <c r="DD139" i="1"/>
  <c r="DE139" i="1"/>
  <c r="DF139" i="1"/>
  <c r="DG139" i="1"/>
  <c r="DH139" i="1"/>
  <c r="DI139" i="1"/>
  <c r="DA140" i="1"/>
  <c r="DB140" i="1"/>
  <c r="DC140" i="1"/>
  <c r="DD140" i="1"/>
  <c r="DE140" i="1"/>
  <c r="DF140" i="1"/>
  <c r="DG140" i="1"/>
  <c r="DH140" i="1"/>
  <c r="DI140" i="1"/>
  <c r="DA141" i="1"/>
  <c r="DB141" i="1"/>
  <c r="DC141" i="1"/>
  <c r="DD141" i="1"/>
  <c r="DE141" i="1"/>
  <c r="DF141" i="1"/>
  <c r="DG141" i="1"/>
  <c r="DH141" i="1"/>
  <c r="DI141" i="1"/>
  <c r="DA142" i="1"/>
  <c r="DB142" i="1"/>
  <c r="DC142" i="1"/>
  <c r="DD142" i="1"/>
  <c r="DE142" i="1"/>
  <c r="DF142" i="1"/>
  <c r="DG142" i="1"/>
  <c r="DH142" i="1"/>
  <c r="DI142" i="1"/>
  <c r="DA143" i="1"/>
  <c r="DB143" i="1"/>
  <c r="DC143" i="1"/>
  <c r="DD143" i="1"/>
  <c r="DE143" i="1"/>
  <c r="DF143" i="1"/>
  <c r="DG143" i="1"/>
  <c r="DH143" i="1"/>
  <c r="DI143" i="1"/>
  <c r="DA144" i="1"/>
  <c r="DB144" i="1"/>
  <c r="DC144" i="1"/>
  <c r="DD144" i="1"/>
  <c r="DE144" i="1"/>
  <c r="DF144" i="1"/>
  <c r="DG144" i="1"/>
  <c r="DH144" i="1"/>
  <c r="DI144" i="1"/>
  <c r="DA145" i="1"/>
  <c r="DB145" i="1"/>
  <c r="DC145" i="1"/>
  <c r="DD145" i="1"/>
  <c r="DE145" i="1"/>
  <c r="DF145" i="1"/>
  <c r="DG145" i="1"/>
  <c r="DH145" i="1"/>
  <c r="DI145" i="1"/>
  <c r="DA146" i="1"/>
  <c r="DB146" i="1"/>
  <c r="DC146" i="1"/>
  <c r="DD146" i="1"/>
  <c r="DE146" i="1"/>
  <c r="DF146" i="1"/>
  <c r="DG146" i="1"/>
  <c r="DH146" i="1"/>
  <c r="DI146" i="1"/>
  <c r="DA147" i="1"/>
  <c r="DB147" i="1"/>
  <c r="DC147" i="1"/>
  <c r="DD147" i="1"/>
  <c r="DE147" i="1"/>
  <c r="DF147" i="1"/>
  <c r="DG147" i="1"/>
  <c r="DH147" i="1"/>
  <c r="DI147" i="1"/>
  <c r="DA148" i="1"/>
  <c r="DB148" i="1"/>
  <c r="DC148" i="1"/>
  <c r="DD148" i="1"/>
  <c r="DE148" i="1"/>
  <c r="DF148" i="1"/>
  <c r="DG148" i="1"/>
  <c r="DH148" i="1"/>
  <c r="DI148" i="1"/>
  <c r="DA149" i="1"/>
  <c r="DB149" i="1"/>
  <c r="DC149" i="1"/>
  <c r="DD149" i="1"/>
  <c r="DE149" i="1"/>
  <c r="DF149" i="1"/>
  <c r="DG149" i="1"/>
  <c r="DH149" i="1"/>
  <c r="DI149" i="1"/>
  <c r="DA150" i="1"/>
  <c r="DB150" i="1"/>
  <c r="DC150" i="1"/>
  <c r="DD150" i="1"/>
  <c r="DE150" i="1"/>
  <c r="DF150" i="1"/>
  <c r="DG150" i="1"/>
  <c r="DH150" i="1"/>
  <c r="DI150" i="1"/>
  <c r="DA151" i="1"/>
  <c r="DB151" i="1"/>
  <c r="DC151" i="1"/>
  <c r="DD151" i="1"/>
  <c r="DE151" i="1"/>
  <c r="DF151" i="1"/>
  <c r="DG151" i="1"/>
  <c r="DH151" i="1"/>
  <c r="DI151" i="1"/>
  <c r="DA152" i="1"/>
  <c r="DB152" i="1"/>
  <c r="DC152" i="1"/>
  <c r="DD152" i="1"/>
  <c r="DE152" i="1"/>
  <c r="DF152" i="1"/>
  <c r="DG152" i="1"/>
  <c r="DH152" i="1"/>
  <c r="DI152" i="1"/>
  <c r="DA153" i="1"/>
  <c r="DB153" i="1"/>
  <c r="DC153" i="1"/>
  <c r="DD153" i="1"/>
  <c r="DE153" i="1"/>
  <c r="DF153" i="1"/>
  <c r="DG153" i="1"/>
  <c r="DH153" i="1"/>
  <c r="DI153" i="1"/>
  <c r="DA154" i="1"/>
  <c r="DB154" i="1"/>
  <c r="DC154" i="1"/>
  <c r="DD154" i="1"/>
  <c r="DE154" i="1"/>
  <c r="DF154" i="1"/>
  <c r="DG154" i="1"/>
  <c r="DH154" i="1"/>
  <c r="DI154" i="1"/>
  <c r="DA155" i="1"/>
  <c r="DB155" i="1"/>
  <c r="DC155" i="1"/>
  <c r="DD155" i="1"/>
  <c r="DE155" i="1"/>
  <c r="DF155" i="1"/>
  <c r="DG155" i="1"/>
  <c r="DH155" i="1"/>
  <c r="DI155" i="1"/>
  <c r="DA156" i="1"/>
  <c r="DB156" i="1"/>
  <c r="DC156" i="1"/>
  <c r="DD156" i="1"/>
  <c r="DE156" i="1"/>
  <c r="DF156" i="1"/>
  <c r="DG156" i="1"/>
  <c r="DH156" i="1"/>
  <c r="DI156" i="1"/>
  <c r="DA157" i="1"/>
  <c r="DB157" i="1"/>
  <c r="DC157" i="1"/>
  <c r="DD157" i="1"/>
  <c r="DE157" i="1"/>
  <c r="DF157" i="1"/>
  <c r="DG157" i="1"/>
  <c r="DH157" i="1"/>
  <c r="DI157" i="1"/>
  <c r="DA158" i="1"/>
  <c r="DB158" i="1"/>
  <c r="DC158" i="1"/>
  <c r="DD158" i="1"/>
  <c r="DE158" i="1"/>
  <c r="DF158" i="1"/>
  <c r="DG158" i="1"/>
  <c r="DH158" i="1"/>
  <c r="DI158" i="1"/>
  <c r="DA159" i="1"/>
  <c r="DB159" i="1"/>
  <c r="DC159" i="1"/>
  <c r="DD159" i="1"/>
  <c r="DE159" i="1"/>
  <c r="DF159" i="1"/>
  <c r="DG159" i="1"/>
  <c r="DH159" i="1"/>
  <c r="DI159" i="1"/>
  <c r="DA160" i="1"/>
  <c r="DB160" i="1"/>
  <c r="DC160" i="1"/>
  <c r="DD160" i="1"/>
  <c r="DE160" i="1"/>
  <c r="DF160" i="1"/>
  <c r="DG160" i="1"/>
  <c r="DH160" i="1"/>
  <c r="DI160" i="1"/>
  <c r="DA161" i="1"/>
  <c r="DB161" i="1"/>
  <c r="DC161" i="1"/>
  <c r="DD161" i="1"/>
  <c r="DE161" i="1"/>
  <c r="DF161" i="1"/>
  <c r="DG161" i="1"/>
  <c r="DH161" i="1"/>
  <c r="DI161" i="1"/>
  <c r="DA162" i="1"/>
  <c r="DB162" i="1"/>
  <c r="DC162" i="1"/>
  <c r="DD162" i="1"/>
  <c r="DE162" i="1"/>
  <c r="DF162" i="1"/>
  <c r="DG162" i="1"/>
  <c r="DH162" i="1"/>
  <c r="DI162" i="1"/>
  <c r="DA163" i="1"/>
  <c r="DB163" i="1"/>
  <c r="DC163" i="1"/>
  <c r="DD163" i="1"/>
  <c r="DE163" i="1"/>
  <c r="DF163" i="1"/>
  <c r="DG163" i="1"/>
  <c r="DH163" i="1"/>
  <c r="DI163" i="1"/>
  <c r="DA164" i="1"/>
  <c r="DB164" i="1"/>
  <c r="DC164" i="1"/>
  <c r="DD164" i="1"/>
  <c r="DE164" i="1"/>
  <c r="DF164" i="1"/>
  <c r="DG164" i="1"/>
  <c r="DH164" i="1"/>
  <c r="DI164" i="1"/>
  <c r="DA165" i="1"/>
  <c r="DB165" i="1"/>
  <c r="DC165" i="1"/>
  <c r="DD165" i="1"/>
  <c r="DE165" i="1"/>
  <c r="DF165" i="1"/>
  <c r="DG165" i="1"/>
  <c r="DH165" i="1"/>
  <c r="DI165" i="1"/>
  <c r="DA166" i="1"/>
  <c r="DB166" i="1"/>
  <c r="DC166" i="1"/>
  <c r="DD166" i="1"/>
  <c r="DE166" i="1"/>
  <c r="DF166" i="1"/>
  <c r="DG166" i="1"/>
  <c r="DH166" i="1"/>
  <c r="DI166" i="1"/>
  <c r="DA167" i="1"/>
  <c r="DB167" i="1"/>
  <c r="DC167" i="1"/>
  <c r="DD167" i="1"/>
  <c r="DE167" i="1"/>
  <c r="DF167" i="1"/>
  <c r="DG167" i="1"/>
  <c r="DH167" i="1"/>
  <c r="DI167" i="1"/>
  <c r="DA168" i="1"/>
  <c r="DB168" i="1"/>
  <c r="DC168" i="1"/>
  <c r="DD168" i="1"/>
  <c r="DE168" i="1"/>
  <c r="DF168" i="1"/>
  <c r="DG168" i="1"/>
  <c r="DH168" i="1"/>
  <c r="DI168" i="1"/>
  <c r="DA169" i="1"/>
  <c r="DB169" i="1"/>
  <c r="DC169" i="1"/>
  <c r="DD169" i="1"/>
  <c r="DE169" i="1"/>
  <c r="DF169" i="1"/>
  <c r="DG169" i="1"/>
  <c r="DH169" i="1"/>
  <c r="DI169" i="1"/>
  <c r="DA170" i="1"/>
  <c r="DB170" i="1"/>
  <c r="DC170" i="1"/>
  <c r="DD170" i="1"/>
  <c r="DE170" i="1"/>
  <c r="DF170" i="1"/>
  <c r="DG170" i="1"/>
  <c r="DH170" i="1"/>
  <c r="DI170" i="1"/>
  <c r="DA171" i="1"/>
  <c r="DB171" i="1"/>
  <c r="DC171" i="1"/>
  <c r="DD171" i="1"/>
  <c r="DE171" i="1"/>
  <c r="DF171" i="1"/>
  <c r="DG171" i="1"/>
  <c r="DH171" i="1"/>
  <c r="DI171" i="1"/>
  <c r="DA172" i="1"/>
  <c r="DB172" i="1"/>
  <c r="DC172" i="1"/>
  <c r="DD172" i="1"/>
  <c r="DE172" i="1"/>
  <c r="DF172" i="1"/>
  <c r="DG172" i="1"/>
  <c r="DH172" i="1"/>
  <c r="DI172" i="1"/>
  <c r="DA173" i="1"/>
  <c r="DB173" i="1"/>
  <c r="DC173" i="1"/>
  <c r="DD173" i="1"/>
  <c r="DE173" i="1"/>
  <c r="DF173" i="1"/>
  <c r="DG173" i="1"/>
  <c r="DH173" i="1"/>
  <c r="DI173" i="1"/>
  <c r="DA174" i="1"/>
  <c r="DB174" i="1"/>
  <c r="DC174" i="1"/>
  <c r="DD174" i="1"/>
  <c r="DE174" i="1"/>
  <c r="DF174" i="1"/>
  <c r="DG174" i="1"/>
  <c r="DH174" i="1"/>
  <c r="DI174" i="1"/>
  <c r="DA175" i="1"/>
  <c r="DB175" i="1"/>
  <c r="DC175" i="1"/>
  <c r="DD175" i="1"/>
  <c r="DE175" i="1"/>
  <c r="DF175" i="1"/>
  <c r="DG175" i="1"/>
  <c r="DH175" i="1"/>
  <c r="DI175" i="1"/>
  <c r="DA176" i="1"/>
  <c r="DB176" i="1"/>
  <c r="DC176" i="1"/>
  <c r="DD176" i="1"/>
  <c r="DE176" i="1"/>
  <c r="DF176" i="1"/>
  <c r="DG176" i="1"/>
  <c r="DH176" i="1"/>
  <c r="DI176" i="1"/>
  <c r="DA177" i="1"/>
  <c r="DB177" i="1"/>
  <c r="DC177" i="1"/>
  <c r="DD177" i="1"/>
  <c r="DE177" i="1"/>
  <c r="DF177" i="1"/>
  <c r="DG177" i="1"/>
  <c r="DH177" i="1"/>
  <c r="DI177" i="1"/>
  <c r="DA178" i="1"/>
  <c r="DB178" i="1"/>
  <c r="DC178" i="1"/>
  <c r="DD178" i="1"/>
  <c r="DE178" i="1"/>
  <c r="DF178" i="1"/>
  <c r="DG178" i="1"/>
  <c r="DH178" i="1"/>
  <c r="DI178" i="1"/>
  <c r="DA179" i="1"/>
  <c r="DB179" i="1"/>
  <c r="DC179" i="1"/>
  <c r="DD179" i="1"/>
  <c r="DE179" i="1"/>
  <c r="DF179" i="1"/>
  <c r="DG179" i="1"/>
  <c r="DH179" i="1"/>
  <c r="DI179" i="1"/>
  <c r="DA180" i="1"/>
  <c r="DB180" i="1"/>
  <c r="DC180" i="1"/>
  <c r="DD180" i="1"/>
  <c r="DE180" i="1"/>
  <c r="DF180" i="1"/>
  <c r="DG180" i="1"/>
  <c r="DH180" i="1"/>
  <c r="DI180" i="1"/>
  <c r="DA181" i="1"/>
  <c r="DB181" i="1"/>
  <c r="DC181" i="1"/>
  <c r="DD181" i="1"/>
  <c r="DE181" i="1"/>
  <c r="DF181" i="1"/>
  <c r="DG181" i="1"/>
  <c r="DH181" i="1"/>
  <c r="DI181" i="1"/>
  <c r="DA182" i="1"/>
  <c r="DB182" i="1"/>
  <c r="DC182" i="1"/>
  <c r="DD182" i="1"/>
  <c r="DE182" i="1"/>
  <c r="DF182" i="1"/>
  <c r="DG182" i="1"/>
  <c r="DH182" i="1"/>
  <c r="DI182" i="1"/>
  <c r="DA183" i="1"/>
  <c r="DB183" i="1"/>
  <c r="DC183" i="1"/>
  <c r="DD183" i="1"/>
  <c r="DE183" i="1"/>
  <c r="DF183" i="1"/>
  <c r="DG183" i="1"/>
  <c r="DH183" i="1"/>
  <c r="DI183" i="1"/>
  <c r="DA184" i="1"/>
  <c r="DB184" i="1"/>
  <c r="DC184" i="1"/>
  <c r="DD184" i="1"/>
  <c r="DE184" i="1"/>
  <c r="DF184" i="1"/>
  <c r="DG184" i="1"/>
  <c r="DH184" i="1"/>
  <c r="DI184" i="1"/>
  <c r="DA185" i="1"/>
  <c r="DB185" i="1"/>
  <c r="DC185" i="1"/>
  <c r="DD185" i="1"/>
  <c r="DE185" i="1"/>
  <c r="DF185" i="1"/>
  <c r="DG185" i="1"/>
  <c r="DH185" i="1"/>
  <c r="DI185" i="1"/>
  <c r="DA186" i="1"/>
  <c r="DB186" i="1"/>
  <c r="DC186" i="1"/>
  <c r="DD186" i="1"/>
  <c r="DE186" i="1"/>
  <c r="DF186" i="1"/>
  <c r="DG186" i="1"/>
  <c r="DH186" i="1"/>
  <c r="DI186" i="1"/>
  <c r="DA187" i="1"/>
  <c r="DB187" i="1"/>
  <c r="DC187" i="1"/>
  <c r="DD187" i="1"/>
  <c r="DE187" i="1"/>
  <c r="DF187" i="1"/>
  <c r="DG187" i="1"/>
  <c r="DH187" i="1"/>
  <c r="DI187" i="1"/>
  <c r="DA188" i="1"/>
  <c r="DB188" i="1"/>
  <c r="DC188" i="1"/>
  <c r="DD188" i="1"/>
  <c r="DE188" i="1"/>
  <c r="DF188" i="1"/>
  <c r="DG188" i="1"/>
  <c r="DH188" i="1"/>
  <c r="DI188" i="1"/>
  <c r="DA189" i="1"/>
  <c r="DB189" i="1"/>
  <c r="DC189" i="1"/>
  <c r="DD189" i="1"/>
  <c r="DE189" i="1"/>
  <c r="DF189" i="1"/>
  <c r="DG189" i="1"/>
  <c r="DH189" i="1"/>
  <c r="DI189" i="1"/>
  <c r="DA190" i="1"/>
  <c r="DB190" i="1"/>
  <c r="DC190" i="1"/>
  <c r="DD190" i="1"/>
  <c r="DE190" i="1"/>
  <c r="DF190" i="1"/>
  <c r="DG190" i="1"/>
  <c r="DH190" i="1"/>
  <c r="DI190" i="1"/>
  <c r="DA191" i="1"/>
  <c r="DB191" i="1"/>
  <c r="DC191" i="1"/>
  <c r="DD191" i="1"/>
  <c r="DE191" i="1"/>
  <c r="DF191" i="1"/>
  <c r="DG191" i="1"/>
  <c r="DH191" i="1"/>
  <c r="DI191" i="1"/>
  <c r="DA192" i="1"/>
  <c r="DB192" i="1"/>
  <c r="DC192" i="1"/>
  <c r="DD192" i="1"/>
  <c r="DE192" i="1"/>
  <c r="DF192" i="1"/>
  <c r="DG192" i="1"/>
  <c r="DH192" i="1"/>
  <c r="DI192" i="1"/>
  <c r="DA193" i="1"/>
  <c r="DB193" i="1"/>
  <c r="DC193" i="1"/>
  <c r="DD193" i="1"/>
  <c r="DE193" i="1"/>
  <c r="DF193" i="1"/>
  <c r="DG193" i="1"/>
  <c r="DH193" i="1"/>
  <c r="DI193" i="1"/>
  <c r="DA194" i="1"/>
  <c r="DB194" i="1"/>
  <c r="DC194" i="1"/>
  <c r="DD194" i="1"/>
  <c r="DE194" i="1"/>
  <c r="DF194" i="1"/>
  <c r="DG194" i="1"/>
  <c r="DH194" i="1"/>
  <c r="DI194" i="1"/>
  <c r="DA195" i="1"/>
  <c r="DB195" i="1"/>
  <c r="DC195" i="1"/>
  <c r="DD195" i="1"/>
  <c r="DE195" i="1"/>
  <c r="DF195" i="1"/>
  <c r="DG195" i="1"/>
  <c r="DH195" i="1"/>
  <c r="DI195" i="1"/>
  <c r="DA196" i="1"/>
  <c r="DB196" i="1"/>
  <c r="DC196" i="1"/>
  <c r="DD196" i="1"/>
  <c r="DE196" i="1"/>
  <c r="DF196" i="1"/>
  <c r="DG196" i="1"/>
  <c r="DH196" i="1"/>
  <c r="DI196" i="1"/>
  <c r="DA197" i="1"/>
  <c r="DB197" i="1"/>
  <c r="DC197" i="1"/>
  <c r="DD197" i="1"/>
  <c r="DE197" i="1"/>
  <c r="DF197" i="1"/>
  <c r="DG197" i="1"/>
  <c r="DH197" i="1"/>
  <c r="DI197" i="1"/>
  <c r="DA198" i="1"/>
  <c r="DB198" i="1"/>
  <c r="DC198" i="1"/>
  <c r="DD198" i="1"/>
  <c r="DE198" i="1"/>
  <c r="DF198" i="1"/>
  <c r="DG198" i="1"/>
  <c r="DH198" i="1"/>
  <c r="DI198" i="1"/>
  <c r="DA199" i="1"/>
  <c r="DB199" i="1"/>
  <c r="DC199" i="1"/>
  <c r="DD199" i="1"/>
  <c r="DE199" i="1"/>
  <c r="DF199" i="1"/>
  <c r="DG199" i="1"/>
  <c r="DH199" i="1"/>
  <c r="DI199" i="1"/>
  <c r="DA200" i="1"/>
  <c r="DB200" i="1"/>
  <c r="DC200" i="1"/>
  <c r="DD200" i="1"/>
  <c r="DE200" i="1"/>
  <c r="DF200" i="1"/>
  <c r="DG200" i="1"/>
  <c r="DH200" i="1"/>
  <c r="DI200" i="1"/>
  <c r="DA201" i="1"/>
  <c r="DB201" i="1"/>
  <c r="DC201" i="1"/>
  <c r="DD201" i="1"/>
  <c r="DE201" i="1"/>
  <c r="DF201" i="1"/>
  <c r="DG201" i="1"/>
  <c r="DH201" i="1"/>
  <c r="DI201" i="1"/>
  <c r="DA202" i="1"/>
  <c r="DB202" i="1"/>
  <c r="DC202" i="1"/>
  <c r="DD202" i="1"/>
  <c r="DE202" i="1"/>
  <c r="DF202" i="1"/>
  <c r="DG202" i="1"/>
  <c r="DH202" i="1"/>
  <c r="DI202" i="1"/>
  <c r="DA203" i="1"/>
  <c r="DB203" i="1"/>
  <c r="DC203" i="1"/>
  <c r="DD203" i="1"/>
  <c r="DE203" i="1"/>
  <c r="DF203" i="1"/>
  <c r="DG203" i="1"/>
  <c r="DH203" i="1"/>
  <c r="DI203" i="1"/>
  <c r="DA204" i="1"/>
  <c r="DB204" i="1"/>
  <c r="DC204" i="1"/>
  <c r="DD204" i="1"/>
  <c r="DE204" i="1"/>
  <c r="DF204" i="1"/>
  <c r="DG204" i="1"/>
  <c r="DH204" i="1"/>
  <c r="DI204" i="1"/>
  <c r="DA205" i="1"/>
  <c r="DB205" i="1"/>
  <c r="DC205" i="1"/>
  <c r="DD205" i="1"/>
  <c r="DE205" i="1"/>
  <c r="DF205" i="1"/>
  <c r="DG205" i="1"/>
  <c r="DH205" i="1"/>
  <c r="DI205" i="1"/>
  <c r="DA206" i="1"/>
  <c r="DB206" i="1"/>
  <c r="DC206" i="1"/>
  <c r="DD206" i="1"/>
  <c r="DE206" i="1"/>
  <c r="DF206" i="1"/>
  <c r="DG206" i="1"/>
  <c r="DH206" i="1"/>
  <c r="DI206" i="1"/>
  <c r="DA207" i="1"/>
  <c r="DB207" i="1"/>
  <c r="DC207" i="1"/>
  <c r="DD207" i="1"/>
  <c r="DE207" i="1"/>
  <c r="DF207" i="1"/>
  <c r="DG207" i="1"/>
  <c r="DH207" i="1"/>
  <c r="DI207" i="1"/>
  <c r="DA208" i="1"/>
  <c r="DB208" i="1"/>
  <c r="DC208" i="1"/>
  <c r="DD208" i="1"/>
  <c r="DE208" i="1"/>
  <c r="DF208" i="1"/>
  <c r="DG208" i="1"/>
  <c r="DH208" i="1"/>
  <c r="DI208" i="1"/>
  <c r="DA209" i="1"/>
  <c r="DB209" i="1"/>
  <c r="DC209" i="1"/>
  <c r="DD209" i="1"/>
  <c r="DE209" i="1"/>
  <c r="DF209" i="1"/>
  <c r="DG209" i="1"/>
  <c r="DH209" i="1"/>
  <c r="DI209" i="1"/>
  <c r="DA210" i="1"/>
  <c r="DB210" i="1"/>
  <c r="DC210" i="1"/>
  <c r="DD210" i="1"/>
  <c r="DE210" i="1"/>
  <c r="DF210" i="1"/>
  <c r="DG210" i="1"/>
  <c r="DH210" i="1"/>
  <c r="DI210" i="1"/>
  <c r="DA211" i="1"/>
  <c r="DB211" i="1"/>
  <c r="DC211" i="1"/>
  <c r="DD211" i="1"/>
  <c r="DE211" i="1"/>
  <c r="DF211" i="1"/>
  <c r="DG211" i="1"/>
  <c r="DH211" i="1"/>
  <c r="DI211" i="1"/>
  <c r="DA212" i="1"/>
  <c r="DB212" i="1"/>
  <c r="DC212" i="1"/>
  <c r="DD212" i="1"/>
  <c r="DE212" i="1"/>
  <c r="DF212" i="1"/>
  <c r="DG212" i="1"/>
  <c r="DH212" i="1"/>
  <c r="DI212" i="1"/>
  <c r="DA213" i="1"/>
  <c r="DB213" i="1"/>
  <c r="DC213" i="1"/>
  <c r="DD213" i="1"/>
  <c r="DE213" i="1"/>
  <c r="DF213" i="1"/>
  <c r="DG213" i="1"/>
  <c r="DH213" i="1"/>
  <c r="DI213" i="1"/>
  <c r="DA214" i="1"/>
  <c r="DB214" i="1"/>
  <c r="DC214" i="1"/>
  <c r="DD214" i="1"/>
  <c r="DE214" i="1"/>
  <c r="DF214" i="1"/>
  <c r="DG214" i="1"/>
  <c r="DH214" i="1"/>
  <c r="DI214" i="1"/>
  <c r="DA215" i="1"/>
  <c r="DB215" i="1"/>
  <c r="DC215" i="1"/>
  <c r="DD215" i="1"/>
  <c r="DE215" i="1"/>
  <c r="DF215" i="1"/>
  <c r="DG215" i="1"/>
  <c r="DH215" i="1"/>
  <c r="DI215" i="1"/>
  <c r="DA216" i="1"/>
  <c r="DB216" i="1"/>
  <c r="DC216" i="1"/>
  <c r="DD216" i="1"/>
  <c r="DE216" i="1"/>
  <c r="DF216" i="1"/>
  <c r="DG216" i="1"/>
  <c r="DH216" i="1"/>
  <c r="DI216" i="1"/>
  <c r="DA217" i="1"/>
  <c r="DB217" i="1"/>
  <c r="DC217" i="1"/>
  <c r="DD217" i="1"/>
  <c r="DE217" i="1"/>
  <c r="DF217" i="1"/>
  <c r="DG217" i="1"/>
  <c r="DH217" i="1"/>
  <c r="DI217" i="1"/>
  <c r="DA218" i="1"/>
  <c r="DB218" i="1"/>
  <c r="DC218" i="1"/>
  <c r="DD218" i="1"/>
  <c r="DE218" i="1"/>
  <c r="DF218" i="1"/>
  <c r="DG218" i="1"/>
  <c r="DH218" i="1"/>
  <c r="DI218" i="1"/>
  <c r="DA219" i="1"/>
  <c r="DB219" i="1"/>
  <c r="DC219" i="1"/>
  <c r="DD219" i="1"/>
  <c r="DE219" i="1"/>
  <c r="DF219" i="1"/>
  <c r="DG219" i="1"/>
  <c r="DH219" i="1"/>
  <c r="DI219" i="1"/>
  <c r="DA220" i="1"/>
  <c r="DB220" i="1"/>
  <c r="DC220" i="1"/>
  <c r="DD220" i="1"/>
  <c r="DE220" i="1"/>
  <c r="DF220" i="1"/>
  <c r="DG220" i="1"/>
  <c r="DH220" i="1"/>
  <c r="DI220" i="1"/>
  <c r="DA221" i="1"/>
  <c r="DB221" i="1"/>
  <c r="DC221" i="1"/>
  <c r="DD221" i="1"/>
  <c r="DE221" i="1"/>
  <c r="DF221" i="1"/>
  <c r="DG221" i="1"/>
  <c r="DH221" i="1"/>
  <c r="DI221" i="1"/>
  <c r="DA222" i="1"/>
  <c r="DB222" i="1"/>
  <c r="DC222" i="1"/>
  <c r="DD222" i="1"/>
  <c r="DE222" i="1"/>
  <c r="DF222" i="1"/>
  <c r="DG222" i="1"/>
  <c r="DH222" i="1"/>
  <c r="DI222" i="1"/>
  <c r="DA223" i="1"/>
  <c r="DB223" i="1"/>
  <c r="DC223" i="1"/>
  <c r="DD223" i="1"/>
  <c r="DE223" i="1"/>
  <c r="DF223" i="1"/>
  <c r="DG223" i="1"/>
  <c r="DH223" i="1"/>
  <c r="DI223" i="1"/>
  <c r="DA224" i="1"/>
  <c r="DB224" i="1"/>
  <c r="DC224" i="1"/>
  <c r="DD224" i="1"/>
  <c r="DE224" i="1"/>
  <c r="DF224" i="1"/>
  <c r="DG224" i="1"/>
  <c r="DH224" i="1"/>
  <c r="DI224" i="1"/>
  <c r="DA225" i="1"/>
  <c r="DB225" i="1"/>
  <c r="DC225" i="1"/>
  <c r="DD225" i="1"/>
  <c r="DE225" i="1"/>
  <c r="DF225" i="1"/>
  <c r="DG225" i="1"/>
  <c r="DH225" i="1"/>
  <c r="DI225" i="1"/>
  <c r="DA226" i="1"/>
  <c r="DB226" i="1"/>
  <c r="DC226" i="1"/>
  <c r="DD226" i="1"/>
  <c r="DE226" i="1"/>
  <c r="DF226" i="1"/>
  <c r="DG226" i="1"/>
  <c r="DH226" i="1"/>
  <c r="DI226" i="1"/>
  <c r="DA227" i="1"/>
  <c r="DB227" i="1"/>
  <c r="DC227" i="1"/>
  <c r="DD227" i="1"/>
  <c r="DE227" i="1"/>
  <c r="DF227" i="1"/>
  <c r="DG227" i="1"/>
  <c r="DH227" i="1"/>
  <c r="DI227" i="1"/>
  <c r="DA228" i="1"/>
  <c r="DB228" i="1"/>
  <c r="DC228" i="1"/>
  <c r="DD228" i="1"/>
  <c r="DE228" i="1"/>
  <c r="DF228" i="1"/>
  <c r="DG228" i="1"/>
  <c r="DH228" i="1"/>
  <c r="DI228" i="1"/>
  <c r="DA229" i="1"/>
  <c r="DB229" i="1"/>
  <c r="DC229" i="1"/>
  <c r="DD229" i="1"/>
  <c r="DE229" i="1"/>
  <c r="DF229" i="1"/>
  <c r="DG229" i="1"/>
  <c r="DH229" i="1"/>
  <c r="DI229" i="1"/>
  <c r="DA230" i="1"/>
  <c r="DB230" i="1"/>
  <c r="DC230" i="1"/>
  <c r="DD230" i="1"/>
  <c r="DE230" i="1"/>
  <c r="DF230" i="1"/>
  <c r="DG230" i="1"/>
  <c r="DH230" i="1"/>
  <c r="DI230" i="1"/>
  <c r="DA231" i="1"/>
  <c r="DB231" i="1"/>
  <c r="DC231" i="1"/>
  <c r="DD231" i="1"/>
  <c r="DE231" i="1"/>
  <c r="DF231" i="1"/>
  <c r="DG231" i="1"/>
  <c r="DH231" i="1"/>
  <c r="DI231" i="1"/>
  <c r="DA232" i="1"/>
  <c r="DB232" i="1"/>
  <c r="DC232" i="1"/>
  <c r="DD232" i="1"/>
  <c r="DE232" i="1"/>
  <c r="DF232" i="1"/>
  <c r="DG232" i="1"/>
  <c r="DH232" i="1"/>
  <c r="DI232" i="1"/>
  <c r="DA233" i="1"/>
  <c r="DB233" i="1"/>
  <c r="DC233" i="1"/>
  <c r="DD233" i="1"/>
  <c r="DE233" i="1"/>
  <c r="DF233" i="1"/>
  <c r="DG233" i="1"/>
  <c r="DH233" i="1"/>
  <c r="DI233" i="1"/>
  <c r="DA234" i="1"/>
  <c r="DB234" i="1"/>
  <c r="DC234" i="1"/>
  <c r="DD234" i="1"/>
  <c r="DE234" i="1"/>
  <c r="DF234" i="1"/>
  <c r="DG234" i="1"/>
  <c r="DH234" i="1"/>
  <c r="DI234" i="1"/>
  <c r="DA235" i="1"/>
  <c r="DB235" i="1"/>
  <c r="DC235" i="1"/>
  <c r="DD235" i="1"/>
  <c r="DE235" i="1"/>
  <c r="DF235" i="1"/>
  <c r="DG235" i="1"/>
  <c r="DH235" i="1"/>
  <c r="DI235" i="1"/>
  <c r="DA236" i="1"/>
  <c r="DB236" i="1"/>
  <c r="DC236" i="1"/>
  <c r="DD236" i="1"/>
  <c r="DE236" i="1"/>
  <c r="DF236" i="1"/>
  <c r="DG236" i="1"/>
  <c r="DH236" i="1"/>
  <c r="DI236" i="1"/>
  <c r="DA237" i="1"/>
  <c r="DB237" i="1"/>
  <c r="DC237" i="1"/>
  <c r="DD237" i="1"/>
  <c r="DE237" i="1"/>
  <c r="DF237" i="1"/>
  <c r="DG237" i="1"/>
  <c r="DH237" i="1"/>
  <c r="DI237" i="1"/>
  <c r="DA238" i="1"/>
  <c r="DB238" i="1"/>
  <c r="DC238" i="1"/>
  <c r="DD238" i="1"/>
  <c r="DE238" i="1"/>
  <c r="DF238" i="1"/>
  <c r="DG238" i="1"/>
  <c r="DH238" i="1"/>
  <c r="DI238" i="1"/>
  <c r="DA239" i="1"/>
  <c r="DB239" i="1"/>
  <c r="DC239" i="1"/>
  <c r="DD239" i="1"/>
  <c r="DE239" i="1"/>
  <c r="DF239" i="1"/>
  <c r="DG239" i="1"/>
  <c r="DH239" i="1"/>
  <c r="DI239" i="1"/>
  <c r="DA240" i="1"/>
  <c r="DB240" i="1"/>
  <c r="DC240" i="1"/>
  <c r="DD240" i="1"/>
  <c r="DE240" i="1"/>
  <c r="DF240" i="1"/>
  <c r="DG240" i="1"/>
  <c r="DH240" i="1"/>
  <c r="DI240" i="1"/>
  <c r="DA241" i="1"/>
  <c r="DB241" i="1"/>
  <c r="DC241" i="1"/>
  <c r="DD241" i="1"/>
  <c r="DE241" i="1"/>
  <c r="DF241" i="1"/>
  <c r="DG241" i="1"/>
  <c r="DH241" i="1"/>
  <c r="DI241" i="1"/>
  <c r="DA242" i="1"/>
  <c r="DB242" i="1"/>
  <c r="DC242" i="1"/>
  <c r="DD242" i="1"/>
  <c r="DE242" i="1"/>
  <c r="DF242" i="1"/>
  <c r="DG242" i="1"/>
  <c r="DH242" i="1"/>
  <c r="DI242" i="1"/>
  <c r="DA243" i="1"/>
  <c r="DB243" i="1"/>
  <c r="DC243" i="1"/>
  <c r="DD243" i="1"/>
  <c r="DE243" i="1"/>
  <c r="DF243" i="1"/>
  <c r="DG243" i="1"/>
  <c r="DH243" i="1"/>
  <c r="DI243" i="1"/>
  <c r="DA244" i="1"/>
  <c r="DB244" i="1"/>
  <c r="DC244" i="1"/>
  <c r="DD244" i="1"/>
  <c r="DE244" i="1"/>
  <c r="DF244" i="1"/>
  <c r="DG244" i="1"/>
  <c r="DH244" i="1"/>
  <c r="DI244" i="1"/>
  <c r="DA245" i="1"/>
  <c r="DB245" i="1"/>
  <c r="DC245" i="1"/>
  <c r="DD245" i="1"/>
  <c r="DE245" i="1"/>
  <c r="DF245" i="1"/>
  <c r="DG245" i="1"/>
  <c r="DH245" i="1"/>
  <c r="DI245" i="1"/>
  <c r="DA246" i="1"/>
  <c r="DB246" i="1"/>
  <c r="DC246" i="1"/>
  <c r="DD246" i="1"/>
  <c r="DE246" i="1"/>
  <c r="DF246" i="1"/>
  <c r="DG246" i="1"/>
  <c r="DH246" i="1"/>
  <c r="DI246" i="1"/>
  <c r="DA247" i="1"/>
  <c r="DB247" i="1"/>
  <c r="DC247" i="1"/>
  <c r="DD247" i="1"/>
  <c r="DE247" i="1"/>
  <c r="DF247" i="1"/>
  <c r="DG247" i="1"/>
  <c r="DH247" i="1"/>
  <c r="DI247" i="1"/>
  <c r="DA248" i="1"/>
  <c r="DB248" i="1"/>
  <c r="DC248" i="1"/>
  <c r="DD248" i="1"/>
  <c r="DE248" i="1"/>
  <c r="DF248" i="1"/>
  <c r="DG248" i="1"/>
  <c r="DH248" i="1"/>
  <c r="DI248" i="1"/>
  <c r="DA249" i="1"/>
  <c r="DB249" i="1"/>
  <c r="DC249" i="1"/>
  <c r="DD249" i="1"/>
  <c r="DE249" i="1"/>
  <c r="DF249" i="1"/>
  <c r="DG249" i="1"/>
  <c r="DH249" i="1"/>
  <c r="DI249" i="1"/>
  <c r="DA250" i="1"/>
  <c r="DB250" i="1"/>
  <c r="DC250" i="1"/>
  <c r="DD250" i="1"/>
  <c r="DE250" i="1"/>
  <c r="DF250" i="1"/>
  <c r="DG250" i="1"/>
  <c r="DH250" i="1"/>
  <c r="DI250" i="1"/>
  <c r="DA251" i="1"/>
  <c r="DB251" i="1"/>
  <c r="DC251" i="1"/>
  <c r="DD251" i="1"/>
  <c r="DE251" i="1"/>
  <c r="DF251" i="1"/>
  <c r="DG251" i="1"/>
  <c r="DH251" i="1"/>
  <c r="DI251" i="1"/>
  <c r="DA252" i="1"/>
  <c r="DB252" i="1"/>
  <c r="DC252" i="1"/>
  <c r="DD252" i="1"/>
  <c r="DE252" i="1"/>
  <c r="DF252" i="1"/>
  <c r="DG252" i="1"/>
  <c r="DH252" i="1"/>
  <c r="DI252" i="1"/>
  <c r="DA253" i="1"/>
  <c r="DB253" i="1"/>
  <c r="DC253" i="1"/>
  <c r="DD253" i="1"/>
  <c r="DE253" i="1"/>
  <c r="DF253" i="1"/>
  <c r="DG253" i="1"/>
  <c r="DH253" i="1"/>
  <c r="DI253" i="1"/>
  <c r="DA254" i="1"/>
  <c r="DB254" i="1"/>
  <c r="DC254" i="1"/>
  <c r="DD254" i="1"/>
  <c r="DE254" i="1"/>
  <c r="DF254" i="1"/>
  <c r="DG254" i="1"/>
  <c r="DH254" i="1"/>
  <c r="DI254" i="1"/>
  <c r="DA255" i="1"/>
  <c r="DB255" i="1"/>
  <c r="DC255" i="1"/>
  <c r="DD255" i="1"/>
  <c r="DE255" i="1"/>
  <c r="DF255" i="1"/>
  <c r="DG255" i="1"/>
  <c r="DH255" i="1"/>
  <c r="DI255" i="1"/>
  <c r="DA256" i="1"/>
  <c r="DB256" i="1"/>
  <c r="DC256" i="1"/>
  <c r="DD256" i="1"/>
  <c r="DE256" i="1"/>
  <c r="DF256" i="1"/>
  <c r="DG256" i="1"/>
  <c r="DH256" i="1"/>
  <c r="DI256" i="1"/>
  <c r="DA257" i="1"/>
  <c r="DB257" i="1"/>
  <c r="DC257" i="1"/>
  <c r="DD257" i="1"/>
  <c r="DE257" i="1"/>
  <c r="DF257" i="1"/>
  <c r="DG257" i="1"/>
  <c r="DH257" i="1"/>
  <c r="DI257" i="1"/>
  <c r="DA258" i="1"/>
  <c r="DB258" i="1"/>
  <c r="DC258" i="1"/>
  <c r="DD258" i="1"/>
  <c r="DE258" i="1"/>
  <c r="DF258" i="1"/>
  <c r="DG258" i="1"/>
  <c r="DH258" i="1"/>
  <c r="DI258" i="1"/>
  <c r="DA259" i="1"/>
  <c r="DB259" i="1"/>
  <c r="DC259" i="1"/>
  <c r="DD259" i="1"/>
  <c r="DE259" i="1"/>
  <c r="DF259" i="1"/>
  <c r="DG259" i="1"/>
  <c r="DH259" i="1"/>
  <c r="DI259" i="1"/>
  <c r="DA260" i="1"/>
  <c r="DB260" i="1"/>
  <c r="DC260" i="1"/>
  <c r="DD260" i="1"/>
  <c r="DE260" i="1"/>
  <c r="DF260" i="1"/>
  <c r="DG260" i="1"/>
  <c r="DH260" i="1"/>
  <c r="DI260" i="1"/>
  <c r="DA261" i="1"/>
  <c r="DB261" i="1"/>
  <c r="DC261" i="1"/>
  <c r="DD261" i="1"/>
  <c r="DE261" i="1"/>
  <c r="DF261" i="1"/>
  <c r="DG261" i="1"/>
  <c r="DH261" i="1"/>
  <c r="DI261" i="1"/>
  <c r="DA262" i="1"/>
  <c r="DB262" i="1"/>
  <c r="DC262" i="1"/>
  <c r="DD262" i="1"/>
  <c r="DE262" i="1"/>
  <c r="DF262" i="1"/>
  <c r="DG262" i="1"/>
  <c r="DH262" i="1"/>
  <c r="DI262" i="1"/>
  <c r="DA263" i="1"/>
  <c r="DB263" i="1"/>
  <c r="DC263" i="1"/>
  <c r="DD263" i="1"/>
  <c r="DE263" i="1"/>
  <c r="DF263" i="1"/>
  <c r="DG263" i="1"/>
  <c r="DH263" i="1"/>
  <c r="DI263" i="1"/>
  <c r="DA264" i="1"/>
  <c r="DB264" i="1"/>
  <c r="DC264" i="1"/>
  <c r="DD264" i="1"/>
  <c r="DE264" i="1"/>
  <c r="DF264" i="1"/>
  <c r="DG264" i="1"/>
  <c r="DH264" i="1"/>
  <c r="DI264" i="1"/>
  <c r="DA265" i="1"/>
  <c r="DB265" i="1"/>
  <c r="DC265" i="1"/>
  <c r="DD265" i="1"/>
  <c r="DE265" i="1"/>
  <c r="DF265" i="1"/>
  <c r="DG265" i="1"/>
  <c r="DH265" i="1"/>
  <c r="DI265" i="1"/>
  <c r="DA266" i="1"/>
  <c r="DB266" i="1"/>
  <c r="DC266" i="1"/>
  <c r="DD266" i="1"/>
  <c r="DE266" i="1"/>
  <c r="DF266" i="1"/>
  <c r="DG266" i="1"/>
  <c r="DH266" i="1"/>
  <c r="DI266" i="1"/>
  <c r="DA267" i="1"/>
  <c r="DB267" i="1"/>
  <c r="DC267" i="1"/>
  <c r="DD267" i="1"/>
  <c r="DE267" i="1"/>
  <c r="DF267" i="1"/>
  <c r="DG267" i="1"/>
  <c r="DH267" i="1"/>
  <c r="DI267" i="1"/>
  <c r="DA268" i="1"/>
  <c r="DB268" i="1"/>
  <c r="DC268" i="1"/>
  <c r="DD268" i="1"/>
  <c r="DE268" i="1"/>
  <c r="DF268" i="1"/>
  <c r="DG268" i="1"/>
  <c r="DH268" i="1"/>
  <c r="DI268" i="1"/>
  <c r="DA269" i="1"/>
  <c r="DB269" i="1"/>
  <c r="DC269" i="1"/>
  <c r="DD269" i="1"/>
  <c r="DE269" i="1"/>
  <c r="DF269" i="1"/>
  <c r="DG269" i="1"/>
  <c r="DH269" i="1"/>
  <c r="DI269" i="1"/>
  <c r="DA270" i="1"/>
  <c r="DB270" i="1"/>
  <c r="DC270" i="1"/>
  <c r="DD270" i="1"/>
  <c r="DE270" i="1"/>
  <c r="DF270" i="1"/>
  <c r="DG270" i="1"/>
  <c r="DH270" i="1"/>
  <c r="DI270" i="1"/>
  <c r="DA271" i="1"/>
  <c r="DB271" i="1"/>
  <c r="DC271" i="1"/>
  <c r="DD271" i="1"/>
  <c r="DE271" i="1"/>
  <c r="DF271" i="1"/>
  <c r="DG271" i="1"/>
  <c r="DH271" i="1"/>
  <c r="DI271" i="1"/>
  <c r="DA272" i="1"/>
  <c r="DB272" i="1"/>
  <c r="DC272" i="1"/>
  <c r="DD272" i="1"/>
  <c r="DE272" i="1"/>
  <c r="DF272" i="1"/>
  <c r="DG272" i="1"/>
  <c r="DH272" i="1"/>
  <c r="DI272" i="1"/>
  <c r="DA273" i="1"/>
  <c r="DB273" i="1"/>
  <c r="DC273" i="1"/>
  <c r="DD273" i="1"/>
  <c r="DE273" i="1"/>
  <c r="DF273" i="1"/>
  <c r="DG273" i="1"/>
  <c r="DH273" i="1"/>
  <c r="DI273" i="1"/>
  <c r="DA274" i="1"/>
  <c r="DB274" i="1"/>
  <c r="DC274" i="1"/>
  <c r="DD274" i="1"/>
  <c r="DE274" i="1"/>
  <c r="DF274" i="1"/>
  <c r="DG274" i="1"/>
  <c r="DH274" i="1"/>
  <c r="DI274" i="1"/>
  <c r="DA275" i="1"/>
  <c r="DB275" i="1"/>
  <c r="DC275" i="1"/>
  <c r="DD275" i="1"/>
  <c r="DE275" i="1"/>
  <c r="DF275" i="1"/>
  <c r="DG275" i="1"/>
  <c r="DH275" i="1"/>
  <c r="DI275" i="1"/>
  <c r="DA276" i="1"/>
  <c r="DB276" i="1"/>
  <c r="DC276" i="1"/>
  <c r="DD276" i="1"/>
  <c r="DE276" i="1"/>
  <c r="DF276" i="1"/>
  <c r="DG276" i="1"/>
  <c r="DH276" i="1"/>
  <c r="DI276" i="1"/>
  <c r="DA277" i="1"/>
  <c r="DB277" i="1"/>
  <c r="DC277" i="1"/>
  <c r="DD277" i="1"/>
  <c r="DE277" i="1"/>
  <c r="DF277" i="1"/>
  <c r="DG277" i="1"/>
  <c r="DH277" i="1"/>
  <c r="DI277" i="1"/>
  <c r="DA278" i="1"/>
  <c r="DB278" i="1"/>
  <c r="DC278" i="1"/>
  <c r="DD278" i="1"/>
  <c r="DE278" i="1"/>
  <c r="DF278" i="1"/>
  <c r="DG278" i="1"/>
  <c r="DH278" i="1"/>
  <c r="DI278" i="1"/>
  <c r="DA279" i="1"/>
  <c r="DB279" i="1"/>
  <c r="DC279" i="1"/>
  <c r="DD279" i="1"/>
  <c r="DE279" i="1"/>
  <c r="DF279" i="1"/>
  <c r="DG279" i="1"/>
  <c r="DH279" i="1"/>
  <c r="DI279" i="1"/>
  <c r="DA280" i="1"/>
  <c r="DB280" i="1"/>
  <c r="DC280" i="1"/>
  <c r="DD280" i="1"/>
  <c r="DE280" i="1"/>
  <c r="DF280" i="1"/>
  <c r="DG280" i="1"/>
  <c r="DH280" i="1"/>
  <c r="DI280" i="1"/>
  <c r="DA281" i="1"/>
  <c r="DB281" i="1"/>
  <c r="DC281" i="1"/>
  <c r="DD281" i="1"/>
  <c r="DE281" i="1"/>
  <c r="DF281" i="1"/>
  <c r="DG281" i="1"/>
  <c r="DH281" i="1"/>
  <c r="DI281" i="1"/>
  <c r="DA282" i="1"/>
  <c r="DB282" i="1"/>
  <c r="DC282" i="1"/>
  <c r="DD282" i="1"/>
  <c r="DE282" i="1"/>
  <c r="DF282" i="1"/>
  <c r="DG282" i="1"/>
  <c r="DH282" i="1"/>
  <c r="DI282" i="1"/>
  <c r="DA283" i="1"/>
  <c r="DB283" i="1"/>
  <c r="DC283" i="1"/>
  <c r="DD283" i="1"/>
  <c r="DE283" i="1"/>
  <c r="DF283" i="1"/>
  <c r="DG283" i="1"/>
  <c r="DH283" i="1"/>
  <c r="DI283" i="1"/>
  <c r="DA284" i="1"/>
  <c r="DB284" i="1"/>
  <c r="DC284" i="1"/>
  <c r="DD284" i="1"/>
  <c r="DE284" i="1"/>
  <c r="DF284" i="1"/>
  <c r="DG284" i="1"/>
  <c r="DH284" i="1"/>
  <c r="DI284" i="1"/>
  <c r="DA285" i="1"/>
  <c r="DB285" i="1"/>
  <c r="DC285" i="1"/>
  <c r="DD285" i="1"/>
  <c r="DE285" i="1"/>
  <c r="DF285" i="1"/>
  <c r="DG285" i="1"/>
  <c r="DH285" i="1"/>
  <c r="DI285" i="1"/>
  <c r="DA286" i="1"/>
  <c r="DB286" i="1"/>
  <c r="DC286" i="1"/>
  <c r="DD286" i="1"/>
  <c r="DE286" i="1"/>
  <c r="DF286" i="1"/>
  <c r="DG286" i="1"/>
  <c r="DH286" i="1"/>
  <c r="DI286" i="1"/>
  <c r="DA287" i="1"/>
  <c r="DB287" i="1"/>
  <c r="DC287" i="1"/>
  <c r="DD287" i="1"/>
  <c r="DE287" i="1"/>
  <c r="DF287" i="1"/>
  <c r="DG287" i="1"/>
  <c r="DH287" i="1"/>
  <c r="DI287" i="1"/>
  <c r="DA288" i="1"/>
  <c r="DB288" i="1"/>
  <c r="DC288" i="1"/>
  <c r="DD288" i="1"/>
  <c r="DE288" i="1"/>
  <c r="DF288" i="1"/>
  <c r="DG288" i="1"/>
  <c r="DH288" i="1"/>
  <c r="DI288" i="1"/>
  <c r="DA289" i="1"/>
  <c r="DB289" i="1"/>
  <c r="DC289" i="1"/>
  <c r="DD289" i="1"/>
  <c r="DE289" i="1"/>
  <c r="DF289" i="1"/>
  <c r="DG289" i="1"/>
  <c r="DH289" i="1"/>
  <c r="DI289" i="1"/>
  <c r="DA290" i="1"/>
  <c r="DB290" i="1"/>
  <c r="DC290" i="1"/>
  <c r="DD290" i="1"/>
  <c r="DE290" i="1"/>
  <c r="DF290" i="1"/>
  <c r="DG290" i="1"/>
  <c r="DH290" i="1"/>
  <c r="DI290" i="1"/>
  <c r="DA291" i="1"/>
  <c r="DB291" i="1"/>
  <c r="DC291" i="1"/>
  <c r="DD291" i="1"/>
  <c r="DE291" i="1"/>
  <c r="DF291" i="1"/>
  <c r="DG291" i="1"/>
  <c r="DH291" i="1"/>
  <c r="DI291" i="1"/>
  <c r="DA292" i="1"/>
  <c r="DB292" i="1"/>
  <c r="DC292" i="1"/>
  <c r="DD292" i="1"/>
  <c r="DE292" i="1"/>
  <c r="DF292" i="1"/>
  <c r="DG292" i="1"/>
  <c r="DH292" i="1"/>
  <c r="DI292" i="1"/>
  <c r="DA293" i="1"/>
  <c r="DB293" i="1"/>
  <c r="DC293" i="1"/>
  <c r="DD293" i="1"/>
  <c r="DE293" i="1"/>
  <c r="DF293" i="1"/>
  <c r="DG293" i="1"/>
  <c r="DH293" i="1"/>
  <c r="DI293" i="1"/>
  <c r="DA294" i="1"/>
  <c r="DB294" i="1"/>
  <c r="DC294" i="1"/>
  <c r="DD294" i="1"/>
  <c r="DE294" i="1"/>
  <c r="DF294" i="1"/>
  <c r="DG294" i="1"/>
  <c r="DH294" i="1"/>
  <c r="DI294" i="1"/>
  <c r="DA295" i="1"/>
  <c r="DB295" i="1"/>
  <c r="DC295" i="1"/>
  <c r="DD295" i="1"/>
  <c r="DE295" i="1"/>
  <c r="DF295" i="1"/>
  <c r="DG295" i="1"/>
  <c r="DH295" i="1"/>
  <c r="DI295" i="1"/>
  <c r="DA296" i="1"/>
  <c r="DB296" i="1"/>
  <c r="DC296" i="1"/>
  <c r="DD296" i="1"/>
  <c r="DE296" i="1"/>
  <c r="DF296" i="1"/>
  <c r="DG296" i="1"/>
  <c r="DH296" i="1"/>
  <c r="DI296" i="1"/>
  <c r="DA297" i="1"/>
  <c r="DB297" i="1"/>
  <c r="DC297" i="1"/>
  <c r="DD297" i="1"/>
  <c r="DE297" i="1"/>
  <c r="DF297" i="1"/>
  <c r="DG297" i="1"/>
  <c r="DH297" i="1"/>
  <c r="DI297" i="1"/>
  <c r="DA298" i="1"/>
  <c r="DB298" i="1"/>
  <c r="DC298" i="1"/>
  <c r="DD298" i="1"/>
  <c r="DE298" i="1"/>
  <c r="DF298" i="1"/>
  <c r="DG298" i="1"/>
  <c r="DH298" i="1"/>
  <c r="DI298" i="1"/>
  <c r="DA299" i="1"/>
  <c r="DB299" i="1"/>
  <c r="DC299" i="1"/>
  <c r="DD299" i="1"/>
  <c r="DE299" i="1"/>
  <c r="DF299" i="1"/>
  <c r="DG299" i="1"/>
  <c r="DH299" i="1"/>
  <c r="DI299" i="1"/>
  <c r="DA300" i="1"/>
  <c r="DB300" i="1"/>
  <c r="DC300" i="1"/>
  <c r="DD300" i="1"/>
  <c r="DE300" i="1"/>
  <c r="DF300" i="1"/>
  <c r="DG300" i="1"/>
  <c r="DH300" i="1"/>
  <c r="DI300" i="1"/>
  <c r="DA301" i="1"/>
  <c r="DB301" i="1"/>
  <c r="DC301" i="1"/>
  <c r="DD301" i="1"/>
  <c r="DE301" i="1"/>
  <c r="DF301" i="1"/>
  <c r="DG301" i="1"/>
  <c r="DH301" i="1"/>
  <c r="DI301" i="1"/>
  <c r="DA302" i="1"/>
  <c r="DB302" i="1"/>
  <c r="DC302" i="1"/>
  <c r="DD302" i="1"/>
  <c r="DE302" i="1"/>
  <c r="DF302" i="1"/>
  <c r="DG302" i="1"/>
  <c r="DH302" i="1"/>
  <c r="DI302" i="1"/>
  <c r="DA303" i="1"/>
  <c r="DB303" i="1"/>
  <c r="DC303" i="1"/>
  <c r="DD303" i="1"/>
  <c r="DE303" i="1"/>
  <c r="DF303" i="1"/>
  <c r="DG303" i="1"/>
  <c r="DH303" i="1"/>
  <c r="DI303" i="1"/>
  <c r="DA304" i="1"/>
  <c r="DB304" i="1"/>
  <c r="DC304" i="1"/>
  <c r="DD304" i="1"/>
  <c r="DE304" i="1"/>
  <c r="DF304" i="1"/>
  <c r="DG304" i="1"/>
  <c r="DH304" i="1"/>
  <c r="DI304" i="1"/>
  <c r="DA305" i="1"/>
  <c r="DB305" i="1"/>
  <c r="DC305" i="1"/>
  <c r="DD305" i="1"/>
  <c r="DE305" i="1"/>
  <c r="DF305" i="1"/>
  <c r="DG305" i="1"/>
  <c r="DH305" i="1"/>
  <c r="DI305" i="1"/>
  <c r="DA306" i="1"/>
  <c r="DB306" i="1"/>
  <c r="DC306" i="1"/>
  <c r="DD306" i="1"/>
  <c r="DE306" i="1"/>
  <c r="DF306" i="1"/>
  <c r="DG306" i="1"/>
  <c r="DH306" i="1"/>
  <c r="DI306" i="1"/>
  <c r="DA307" i="1"/>
  <c r="DB307" i="1"/>
  <c r="DC307" i="1"/>
  <c r="DD307" i="1"/>
  <c r="DE307" i="1"/>
  <c r="DF307" i="1"/>
  <c r="DG307" i="1"/>
  <c r="DH307" i="1"/>
  <c r="DI307" i="1"/>
  <c r="DA308" i="1"/>
  <c r="DB308" i="1"/>
  <c r="DC308" i="1"/>
  <c r="DD308" i="1"/>
  <c r="DE308" i="1"/>
  <c r="DF308" i="1"/>
  <c r="DG308" i="1"/>
  <c r="DH308" i="1"/>
  <c r="DI308" i="1"/>
  <c r="DA309" i="1"/>
  <c r="DB309" i="1"/>
  <c r="DC309" i="1"/>
  <c r="DD309" i="1"/>
  <c r="DE309" i="1"/>
  <c r="DF309" i="1"/>
  <c r="DG309" i="1"/>
  <c r="DH309" i="1"/>
  <c r="DI309" i="1"/>
  <c r="DA310" i="1"/>
  <c r="DB310" i="1"/>
  <c r="DC310" i="1"/>
  <c r="DD310" i="1"/>
  <c r="DE310" i="1"/>
  <c r="DF310" i="1"/>
  <c r="DG310" i="1"/>
  <c r="DH310" i="1"/>
  <c r="DI310" i="1"/>
  <c r="DA311" i="1"/>
  <c r="DB311" i="1"/>
  <c r="DC311" i="1"/>
  <c r="DD311" i="1"/>
  <c r="DE311" i="1"/>
  <c r="DF311" i="1"/>
  <c r="DG311" i="1"/>
  <c r="DH311" i="1"/>
  <c r="DI311" i="1"/>
  <c r="DA312" i="1"/>
  <c r="DB312" i="1"/>
  <c r="DC312" i="1"/>
  <c r="DD312" i="1"/>
  <c r="DE312" i="1"/>
  <c r="DF312" i="1"/>
  <c r="DG312" i="1"/>
  <c r="DH312" i="1"/>
  <c r="DI312" i="1"/>
  <c r="DA313" i="1"/>
  <c r="DB313" i="1"/>
  <c r="DC313" i="1"/>
  <c r="DD313" i="1"/>
  <c r="DE313" i="1"/>
  <c r="DF313" i="1"/>
  <c r="DG313" i="1"/>
  <c r="DH313" i="1"/>
  <c r="DI313" i="1"/>
  <c r="DA314" i="1"/>
  <c r="DB314" i="1"/>
  <c r="DC314" i="1"/>
  <c r="DD314" i="1"/>
  <c r="DE314" i="1"/>
  <c r="DF314" i="1"/>
  <c r="DG314" i="1"/>
  <c r="DH314" i="1"/>
  <c r="DI314" i="1"/>
  <c r="DA315" i="1"/>
  <c r="DB315" i="1"/>
  <c r="DC315" i="1"/>
  <c r="DD315" i="1"/>
  <c r="DE315" i="1"/>
  <c r="DF315" i="1"/>
  <c r="DG315" i="1"/>
  <c r="DH315" i="1"/>
  <c r="DI315" i="1"/>
  <c r="DA316" i="1"/>
  <c r="DB316" i="1"/>
  <c r="DC316" i="1"/>
  <c r="DD316" i="1"/>
  <c r="DE316" i="1"/>
  <c r="DF316" i="1"/>
  <c r="DG316" i="1"/>
  <c r="DH316" i="1"/>
  <c r="DI316" i="1"/>
  <c r="DA317" i="1"/>
  <c r="DB317" i="1"/>
  <c r="DC317" i="1"/>
  <c r="DD317" i="1"/>
  <c r="DE317" i="1"/>
  <c r="DF317" i="1"/>
  <c r="DG317" i="1"/>
  <c r="DH317" i="1"/>
  <c r="DI317" i="1"/>
  <c r="DA318" i="1"/>
  <c r="DB318" i="1"/>
  <c r="DC318" i="1"/>
  <c r="DD318" i="1"/>
  <c r="DE318" i="1"/>
  <c r="DF318" i="1"/>
  <c r="DG318" i="1"/>
  <c r="DH318" i="1"/>
  <c r="DI318" i="1"/>
  <c r="DA319" i="1"/>
  <c r="DB319" i="1"/>
  <c r="DC319" i="1"/>
  <c r="DD319" i="1"/>
  <c r="DE319" i="1"/>
  <c r="DF319" i="1"/>
  <c r="DG319" i="1"/>
  <c r="DH319" i="1"/>
  <c r="DI319" i="1"/>
  <c r="DA320" i="1"/>
  <c r="DB320" i="1"/>
  <c r="DC320" i="1"/>
  <c r="DD320" i="1"/>
  <c r="DE320" i="1"/>
  <c r="DF320" i="1"/>
  <c r="DG320" i="1"/>
  <c r="DH320" i="1"/>
  <c r="DI320" i="1"/>
  <c r="DA321" i="1"/>
  <c r="DB321" i="1"/>
  <c r="DC321" i="1"/>
  <c r="DD321" i="1"/>
  <c r="DE321" i="1"/>
  <c r="DF321" i="1"/>
  <c r="DG321" i="1"/>
  <c r="DH321" i="1"/>
  <c r="DI321" i="1"/>
  <c r="DA322" i="1"/>
  <c r="DB322" i="1"/>
  <c r="DC322" i="1"/>
  <c r="DD322" i="1"/>
  <c r="DE322" i="1"/>
  <c r="DF322" i="1"/>
  <c r="DG322" i="1"/>
  <c r="DH322" i="1"/>
  <c r="DI322" i="1"/>
  <c r="DA323" i="1"/>
  <c r="DB323" i="1"/>
  <c r="DC323" i="1"/>
  <c r="DD323" i="1"/>
  <c r="DE323" i="1"/>
  <c r="DF323" i="1"/>
  <c r="DG323" i="1"/>
  <c r="DH323" i="1"/>
  <c r="DI323" i="1"/>
  <c r="DA324" i="1"/>
  <c r="DB324" i="1"/>
  <c r="DC324" i="1"/>
  <c r="DD324" i="1"/>
  <c r="DE324" i="1"/>
  <c r="DF324" i="1"/>
  <c r="DG324" i="1"/>
  <c r="DH324" i="1"/>
  <c r="DI324" i="1"/>
  <c r="DA325" i="1"/>
  <c r="DB325" i="1"/>
  <c r="DC325" i="1"/>
  <c r="DD325" i="1"/>
  <c r="DE325" i="1"/>
  <c r="DF325" i="1"/>
  <c r="DG325" i="1"/>
  <c r="DH325" i="1"/>
  <c r="DI325" i="1"/>
  <c r="DA326" i="1"/>
  <c r="DB326" i="1"/>
  <c r="DC326" i="1"/>
  <c r="DD326" i="1"/>
  <c r="DE326" i="1"/>
  <c r="DF326" i="1"/>
  <c r="DG326" i="1"/>
  <c r="DH326" i="1"/>
  <c r="DI326" i="1"/>
  <c r="DA327" i="1"/>
  <c r="DB327" i="1"/>
  <c r="DC327" i="1"/>
  <c r="DD327" i="1"/>
  <c r="DE327" i="1"/>
  <c r="DF327" i="1"/>
  <c r="DG327" i="1"/>
  <c r="DH327" i="1"/>
  <c r="DI327" i="1"/>
  <c r="DA328" i="1"/>
  <c r="DB328" i="1"/>
  <c r="DC328" i="1"/>
  <c r="DD328" i="1"/>
  <c r="DE328" i="1"/>
  <c r="DF328" i="1"/>
  <c r="DG328" i="1"/>
  <c r="DH328" i="1"/>
  <c r="DI328" i="1"/>
  <c r="DA329" i="1"/>
  <c r="DB329" i="1"/>
  <c r="DC329" i="1"/>
  <c r="DD329" i="1"/>
  <c r="DE329" i="1"/>
  <c r="DF329" i="1"/>
  <c r="DG329" i="1"/>
  <c r="DH329" i="1"/>
  <c r="DI329" i="1"/>
  <c r="DA330" i="1"/>
  <c r="DB330" i="1"/>
  <c r="DC330" i="1"/>
  <c r="DD330" i="1"/>
  <c r="DE330" i="1"/>
  <c r="DF330" i="1"/>
  <c r="DG330" i="1"/>
  <c r="DH330" i="1"/>
  <c r="DI330" i="1"/>
  <c r="DA331" i="1"/>
  <c r="DB331" i="1"/>
  <c r="DC331" i="1"/>
  <c r="DD331" i="1"/>
  <c r="DE331" i="1"/>
  <c r="DF331" i="1"/>
  <c r="DG331" i="1"/>
  <c r="DH331" i="1"/>
  <c r="DI331" i="1"/>
  <c r="DA332" i="1"/>
  <c r="DB332" i="1"/>
  <c r="DC332" i="1"/>
  <c r="DD332" i="1"/>
  <c r="DE332" i="1"/>
  <c r="DF332" i="1"/>
  <c r="DG332" i="1"/>
  <c r="DH332" i="1"/>
  <c r="DI332" i="1"/>
  <c r="DA333" i="1"/>
  <c r="DB333" i="1"/>
  <c r="DC333" i="1"/>
  <c r="DD333" i="1"/>
  <c r="DE333" i="1"/>
  <c r="DF333" i="1"/>
  <c r="DG333" i="1"/>
  <c r="DH333" i="1"/>
  <c r="DI333" i="1"/>
  <c r="DA334" i="1"/>
  <c r="DB334" i="1"/>
  <c r="DC334" i="1"/>
  <c r="DD334" i="1"/>
  <c r="DE334" i="1"/>
  <c r="DF334" i="1"/>
  <c r="DG334" i="1"/>
  <c r="DH334" i="1"/>
  <c r="DI334" i="1"/>
  <c r="DA335" i="1"/>
  <c r="DB335" i="1"/>
  <c r="DC335" i="1"/>
  <c r="DD335" i="1"/>
  <c r="DE335" i="1"/>
  <c r="DF335" i="1"/>
  <c r="DG335" i="1"/>
  <c r="DH335" i="1"/>
  <c r="DI335" i="1"/>
  <c r="DA336" i="1"/>
  <c r="DB336" i="1"/>
  <c r="DC336" i="1"/>
  <c r="DD336" i="1"/>
  <c r="DE336" i="1"/>
  <c r="DF336" i="1"/>
  <c r="DG336" i="1"/>
  <c r="DH336" i="1"/>
  <c r="DI336" i="1"/>
  <c r="DA337" i="1"/>
  <c r="DB337" i="1"/>
  <c r="DC337" i="1"/>
  <c r="DD337" i="1"/>
  <c r="DE337" i="1"/>
  <c r="DF337" i="1"/>
  <c r="DG337" i="1"/>
  <c r="DH337" i="1"/>
  <c r="DI337" i="1"/>
  <c r="DA338" i="1"/>
  <c r="DB338" i="1"/>
  <c r="DC338" i="1"/>
  <c r="DD338" i="1"/>
  <c r="DE338" i="1"/>
  <c r="DF338" i="1"/>
  <c r="DG338" i="1"/>
  <c r="DH338" i="1"/>
  <c r="DI338" i="1"/>
  <c r="DA339" i="1"/>
  <c r="DB339" i="1"/>
  <c r="DC339" i="1"/>
  <c r="DD339" i="1"/>
  <c r="DE339" i="1"/>
  <c r="DF339" i="1"/>
  <c r="DG339" i="1"/>
  <c r="DH339" i="1"/>
  <c r="DI339" i="1"/>
  <c r="DA340" i="1"/>
  <c r="DB340" i="1"/>
  <c r="DC340" i="1"/>
  <c r="DD340" i="1"/>
  <c r="DE340" i="1"/>
  <c r="DF340" i="1"/>
  <c r="DG340" i="1"/>
  <c r="DH340" i="1"/>
  <c r="DI340" i="1"/>
  <c r="DA341" i="1"/>
  <c r="DB341" i="1"/>
  <c r="DC341" i="1"/>
  <c r="DD341" i="1"/>
  <c r="DE341" i="1"/>
  <c r="DF341" i="1"/>
  <c r="DG341" i="1"/>
  <c r="DH341" i="1"/>
  <c r="DI341" i="1"/>
  <c r="DA342" i="1"/>
  <c r="DB342" i="1"/>
  <c r="DC342" i="1"/>
  <c r="DD342" i="1"/>
  <c r="DE342" i="1"/>
  <c r="DF342" i="1"/>
  <c r="DG342" i="1"/>
  <c r="DH342" i="1"/>
  <c r="DI342" i="1"/>
  <c r="DA343" i="1"/>
  <c r="DB343" i="1"/>
  <c r="DC343" i="1"/>
  <c r="DD343" i="1"/>
  <c r="DE343" i="1"/>
  <c r="DF343" i="1"/>
  <c r="DG343" i="1"/>
  <c r="DH343" i="1"/>
  <c r="DI343" i="1"/>
  <c r="DA344" i="1"/>
  <c r="DB344" i="1"/>
  <c r="DC344" i="1"/>
  <c r="DD344" i="1"/>
  <c r="DE344" i="1"/>
  <c r="DF344" i="1"/>
  <c r="DG344" i="1"/>
  <c r="DH344" i="1"/>
  <c r="DI344" i="1"/>
  <c r="DA345" i="1"/>
  <c r="DB345" i="1"/>
  <c r="DC345" i="1"/>
  <c r="DD345" i="1"/>
  <c r="DE345" i="1"/>
  <c r="DF345" i="1"/>
  <c r="DG345" i="1"/>
  <c r="DH345" i="1"/>
  <c r="DI345" i="1"/>
  <c r="DA346" i="1"/>
  <c r="DB346" i="1"/>
  <c r="DC346" i="1"/>
  <c r="DD346" i="1"/>
  <c r="DE346" i="1"/>
  <c r="DF346" i="1"/>
  <c r="DG346" i="1"/>
  <c r="DH346" i="1"/>
  <c r="DI346" i="1"/>
  <c r="DA347" i="1"/>
  <c r="DB347" i="1"/>
  <c r="DC347" i="1"/>
  <c r="DD347" i="1"/>
  <c r="DE347" i="1"/>
  <c r="DF347" i="1"/>
  <c r="DG347" i="1"/>
  <c r="DH347" i="1"/>
  <c r="DI347" i="1"/>
  <c r="DA348" i="1"/>
  <c r="DB348" i="1"/>
  <c r="DC348" i="1"/>
  <c r="DD348" i="1"/>
  <c r="DE348" i="1"/>
  <c r="DF348" i="1"/>
  <c r="DG348" i="1"/>
  <c r="DH348" i="1"/>
  <c r="DI348" i="1"/>
  <c r="DA349" i="1"/>
  <c r="DB349" i="1"/>
  <c r="DC349" i="1"/>
  <c r="DD349" i="1"/>
  <c r="DE349" i="1"/>
  <c r="DF349" i="1"/>
  <c r="DG349" i="1"/>
  <c r="DH349" i="1"/>
  <c r="DI349" i="1"/>
  <c r="DA350" i="1"/>
  <c r="DB350" i="1"/>
  <c r="DC350" i="1"/>
  <c r="DD350" i="1"/>
  <c r="DE350" i="1"/>
  <c r="DF350" i="1"/>
  <c r="DG350" i="1"/>
  <c r="DH350" i="1"/>
  <c r="DI350" i="1"/>
  <c r="DA351" i="1"/>
  <c r="DB351" i="1"/>
  <c r="DC351" i="1"/>
  <c r="DD351" i="1"/>
  <c r="DE351" i="1"/>
  <c r="DF351" i="1"/>
  <c r="DG351" i="1"/>
  <c r="DH351" i="1"/>
  <c r="DI351" i="1"/>
  <c r="DA352" i="1"/>
  <c r="DB352" i="1"/>
  <c r="DC352" i="1"/>
  <c r="DD352" i="1"/>
  <c r="DE352" i="1"/>
  <c r="DF352" i="1"/>
  <c r="DG352" i="1"/>
  <c r="DH352" i="1"/>
  <c r="DI352" i="1"/>
  <c r="DA353" i="1"/>
  <c r="DB353" i="1"/>
  <c r="DC353" i="1"/>
  <c r="DD353" i="1"/>
  <c r="DE353" i="1"/>
  <c r="DF353" i="1"/>
  <c r="DG353" i="1"/>
  <c r="DH353" i="1"/>
  <c r="DI353" i="1"/>
  <c r="DA354" i="1"/>
  <c r="DB354" i="1"/>
  <c r="DC354" i="1"/>
  <c r="DD354" i="1"/>
  <c r="DE354" i="1"/>
  <c r="DF354" i="1"/>
  <c r="DG354" i="1"/>
  <c r="DH354" i="1"/>
  <c r="DI354" i="1"/>
  <c r="DA355" i="1"/>
  <c r="DB355" i="1"/>
  <c r="DC355" i="1"/>
  <c r="DD355" i="1"/>
  <c r="DE355" i="1"/>
  <c r="DF355" i="1"/>
  <c r="DG355" i="1"/>
  <c r="DH355" i="1"/>
  <c r="DI355" i="1"/>
  <c r="DA356" i="1"/>
  <c r="DB356" i="1"/>
  <c r="DC356" i="1"/>
  <c r="DD356" i="1"/>
  <c r="DE356" i="1"/>
  <c r="DF356" i="1"/>
  <c r="DG356" i="1"/>
  <c r="DH356" i="1"/>
  <c r="DI356" i="1"/>
  <c r="DA357" i="1"/>
  <c r="DB357" i="1"/>
  <c r="DC357" i="1"/>
  <c r="DD357" i="1"/>
  <c r="DE357" i="1"/>
  <c r="DF357" i="1"/>
  <c r="DG357" i="1"/>
  <c r="DH357" i="1"/>
  <c r="DI357" i="1"/>
  <c r="DA358" i="1"/>
  <c r="DB358" i="1"/>
  <c r="DC358" i="1"/>
  <c r="DD358" i="1"/>
  <c r="DE358" i="1"/>
  <c r="DF358" i="1"/>
  <c r="DG358" i="1"/>
  <c r="DH358" i="1"/>
  <c r="DI358" i="1"/>
  <c r="DA359" i="1"/>
  <c r="DB359" i="1"/>
  <c r="DC359" i="1"/>
  <c r="DD359" i="1"/>
  <c r="DE359" i="1"/>
  <c r="DF359" i="1"/>
  <c r="DG359" i="1"/>
  <c r="DH359" i="1"/>
  <c r="DI359" i="1"/>
  <c r="DA360" i="1"/>
  <c r="DB360" i="1"/>
  <c r="DC360" i="1"/>
  <c r="DD360" i="1"/>
  <c r="DE360" i="1"/>
  <c r="DF360" i="1"/>
  <c r="DG360" i="1"/>
  <c r="DH360" i="1"/>
  <c r="DI360" i="1"/>
  <c r="DA361" i="1"/>
  <c r="DB361" i="1"/>
  <c r="DC361" i="1"/>
  <c r="DD361" i="1"/>
  <c r="DE361" i="1"/>
  <c r="DF361" i="1"/>
  <c r="DG361" i="1"/>
  <c r="DH361" i="1"/>
  <c r="DI361" i="1"/>
  <c r="DA362" i="1"/>
  <c r="DB362" i="1"/>
  <c r="DC362" i="1"/>
  <c r="DD362" i="1"/>
  <c r="DE362" i="1"/>
  <c r="DF362" i="1"/>
  <c r="DG362" i="1"/>
  <c r="DH362" i="1"/>
  <c r="DI362" i="1"/>
  <c r="DA363" i="1"/>
  <c r="DB363" i="1"/>
  <c r="DC363" i="1"/>
  <c r="DD363" i="1"/>
  <c r="DE363" i="1"/>
  <c r="DF363" i="1"/>
  <c r="DG363" i="1"/>
  <c r="DH363" i="1"/>
  <c r="DI363" i="1"/>
  <c r="DA364" i="1"/>
  <c r="DB364" i="1"/>
  <c r="DC364" i="1"/>
  <c r="DD364" i="1"/>
  <c r="DE364" i="1"/>
  <c r="DF364" i="1"/>
  <c r="DG364" i="1"/>
  <c r="DH364" i="1"/>
  <c r="DI364" i="1"/>
  <c r="DA365" i="1"/>
  <c r="DB365" i="1"/>
  <c r="DC365" i="1"/>
  <c r="DD365" i="1"/>
  <c r="DE365" i="1"/>
  <c r="DF365" i="1"/>
  <c r="DG365" i="1"/>
  <c r="DH365" i="1"/>
  <c r="DI365" i="1"/>
  <c r="DA366" i="1"/>
  <c r="DB366" i="1"/>
  <c r="DC366" i="1"/>
  <c r="DD366" i="1"/>
  <c r="DE366" i="1"/>
  <c r="DF366" i="1"/>
  <c r="DG366" i="1"/>
  <c r="DH366" i="1"/>
  <c r="DI366" i="1"/>
  <c r="DA367" i="1"/>
  <c r="DB367" i="1"/>
  <c r="DC367" i="1"/>
  <c r="DD367" i="1"/>
  <c r="DE367" i="1"/>
  <c r="DF367" i="1"/>
  <c r="DG367" i="1"/>
  <c r="DH367" i="1"/>
  <c r="DI367" i="1"/>
  <c r="DA368" i="1"/>
  <c r="DB368" i="1"/>
  <c r="DC368" i="1"/>
  <c r="DD368" i="1"/>
  <c r="DE368" i="1"/>
  <c r="DF368" i="1"/>
  <c r="DG368" i="1"/>
  <c r="DH368" i="1"/>
  <c r="DI368" i="1"/>
  <c r="DA369" i="1"/>
  <c r="DB369" i="1"/>
  <c r="DC369" i="1"/>
  <c r="DD369" i="1"/>
  <c r="DE369" i="1"/>
  <c r="DF369" i="1"/>
  <c r="DG369" i="1"/>
  <c r="DH369" i="1"/>
  <c r="DI369" i="1"/>
  <c r="DA370" i="1"/>
  <c r="DB370" i="1"/>
  <c r="DC370" i="1"/>
  <c r="DD370" i="1"/>
  <c r="DE370" i="1"/>
  <c r="DF370" i="1"/>
  <c r="DG370" i="1"/>
  <c r="DH370" i="1"/>
  <c r="DI370" i="1"/>
  <c r="DA371" i="1"/>
  <c r="DB371" i="1"/>
  <c r="DC371" i="1"/>
  <c r="DD371" i="1"/>
  <c r="DE371" i="1"/>
  <c r="DF371" i="1"/>
  <c r="DG371" i="1"/>
  <c r="DH371" i="1"/>
  <c r="DI371" i="1"/>
  <c r="DA372" i="1"/>
  <c r="DB372" i="1"/>
  <c r="DC372" i="1"/>
  <c r="DD372" i="1"/>
  <c r="DE372" i="1"/>
  <c r="DF372" i="1"/>
  <c r="DG372" i="1"/>
  <c r="DH372" i="1"/>
  <c r="DI372" i="1"/>
  <c r="DA373" i="1"/>
  <c r="DB373" i="1"/>
  <c r="DC373" i="1"/>
  <c r="DD373" i="1"/>
  <c r="DE373" i="1"/>
  <c r="DF373" i="1"/>
  <c r="DG373" i="1"/>
  <c r="DH373" i="1"/>
  <c r="DI373" i="1"/>
  <c r="DA374" i="1"/>
  <c r="DB374" i="1"/>
  <c r="DC374" i="1"/>
  <c r="DD374" i="1"/>
  <c r="DE374" i="1"/>
  <c r="DF374" i="1"/>
  <c r="DG374" i="1"/>
  <c r="DH374" i="1"/>
  <c r="DI374" i="1"/>
  <c r="DA375" i="1"/>
  <c r="DB375" i="1"/>
  <c r="DC375" i="1"/>
  <c r="DD375" i="1"/>
  <c r="DE375" i="1"/>
  <c r="DF375" i="1"/>
  <c r="DG375" i="1"/>
  <c r="DH375" i="1"/>
  <c r="DI375" i="1"/>
  <c r="DA376" i="1"/>
  <c r="DB376" i="1"/>
  <c r="DC376" i="1"/>
  <c r="DD376" i="1"/>
  <c r="DE376" i="1"/>
  <c r="DF376" i="1"/>
  <c r="DG376" i="1"/>
  <c r="DH376" i="1"/>
  <c r="DI376" i="1"/>
  <c r="DA377" i="1"/>
  <c r="DB377" i="1"/>
  <c r="DC377" i="1"/>
  <c r="DD377" i="1"/>
  <c r="DE377" i="1"/>
  <c r="DF377" i="1"/>
  <c r="DG377" i="1"/>
  <c r="DH377" i="1"/>
  <c r="DI377" i="1"/>
  <c r="DA378" i="1"/>
  <c r="DB378" i="1"/>
  <c r="DC378" i="1"/>
  <c r="DD378" i="1"/>
  <c r="DE378" i="1"/>
  <c r="DF378" i="1"/>
  <c r="DG378" i="1"/>
  <c r="DH378" i="1"/>
  <c r="DI378" i="1"/>
  <c r="DA379" i="1"/>
  <c r="DB379" i="1"/>
  <c r="DC379" i="1"/>
  <c r="DD379" i="1"/>
  <c r="DE379" i="1"/>
  <c r="DF379" i="1"/>
  <c r="DG379" i="1"/>
  <c r="DH379" i="1"/>
  <c r="DI379" i="1"/>
  <c r="DA380" i="1"/>
  <c r="DB380" i="1"/>
  <c r="DC380" i="1"/>
  <c r="DD380" i="1"/>
  <c r="DE380" i="1"/>
  <c r="DF380" i="1"/>
  <c r="DG380" i="1"/>
  <c r="DH380" i="1"/>
  <c r="DI380" i="1"/>
  <c r="DA381" i="1"/>
  <c r="DB381" i="1"/>
  <c r="DC381" i="1"/>
  <c r="DD381" i="1"/>
  <c r="DE381" i="1"/>
  <c r="DF381" i="1"/>
  <c r="DG381" i="1"/>
  <c r="DH381" i="1"/>
  <c r="DI381" i="1"/>
  <c r="DA382" i="1"/>
  <c r="DB382" i="1"/>
  <c r="DC382" i="1"/>
  <c r="DD382" i="1"/>
  <c r="DE382" i="1"/>
  <c r="DF382" i="1"/>
  <c r="DG382" i="1"/>
  <c r="DH382" i="1"/>
  <c r="DI382" i="1"/>
  <c r="DA383" i="1"/>
  <c r="DB383" i="1"/>
  <c r="DC383" i="1"/>
  <c r="DD383" i="1"/>
  <c r="DE383" i="1"/>
  <c r="DF383" i="1"/>
  <c r="DG383" i="1"/>
  <c r="DH383" i="1"/>
  <c r="DI383" i="1"/>
  <c r="DA384" i="1"/>
  <c r="DB384" i="1"/>
  <c r="DC384" i="1"/>
  <c r="DD384" i="1"/>
  <c r="DE384" i="1"/>
  <c r="DF384" i="1"/>
  <c r="DG384" i="1"/>
  <c r="DH384" i="1"/>
  <c r="DI384" i="1"/>
  <c r="DA385" i="1"/>
  <c r="DB385" i="1"/>
  <c r="DC385" i="1"/>
  <c r="DD385" i="1"/>
  <c r="DE385" i="1"/>
  <c r="DF385" i="1"/>
  <c r="DG385" i="1"/>
  <c r="DH385" i="1"/>
  <c r="DI385" i="1"/>
  <c r="DA386" i="1"/>
  <c r="DB386" i="1"/>
  <c r="DC386" i="1"/>
  <c r="DD386" i="1"/>
  <c r="DE386" i="1"/>
  <c r="DF386" i="1"/>
  <c r="DG386" i="1"/>
  <c r="DH386" i="1"/>
  <c r="DI386" i="1"/>
  <c r="DA387" i="1"/>
  <c r="DB387" i="1"/>
  <c r="DC387" i="1"/>
  <c r="DD387" i="1"/>
  <c r="DE387" i="1"/>
  <c r="DF387" i="1"/>
  <c r="DG387" i="1"/>
  <c r="DH387" i="1"/>
  <c r="DI387" i="1"/>
  <c r="DA388" i="1"/>
  <c r="DB388" i="1"/>
  <c r="DC388" i="1"/>
  <c r="DD388" i="1"/>
  <c r="DE388" i="1"/>
  <c r="DF388" i="1"/>
  <c r="DG388" i="1"/>
  <c r="DH388" i="1"/>
  <c r="DI388" i="1"/>
  <c r="DA389" i="1"/>
  <c r="DB389" i="1"/>
  <c r="DC389" i="1"/>
  <c r="DD389" i="1"/>
  <c r="DE389" i="1"/>
  <c r="DF389" i="1"/>
  <c r="DG389" i="1"/>
  <c r="DH389" i="1"/>
  <c r="DI389" i="1"/>
  <c r="DA390" i="1"/>
  <c r="DB390" i="1"/>
  <c r="DC390" i="1"/>
  <c r="DD390" i="1"/>
  <c r="DE390" i="1"/>
  <c r="DF390" i="1"/>
  <c r="DG390" i="1"/>
  <c r="DH390" i="1"/>
  <c r="DI390" i="1"/>
  <c r="DA391" i="1"/>
  <c r="DB391" i="1"/>
  <c r="DC391" i="1"/>
  <c r="DD391" i="1"/>
  <c r="DE391" i="1"/>
  <c r="DF391" i="1"/>
  <c r="DG391" i="1"/>
  <c r="DH391" i="1"/>
  <c r="DI391" i="1"/>
  <c r="DA392" i="1"/>
  <c r="DB392" i="1"/>
  <c r="DC392" i="1"/>
  <c r="DD392" i="1"/>
  <c r="DE392" i="1"/>
  <c r="DF392" i="1"/>
  <c r="DG392" i="1"/>
  <c r="DH392" i="1"/>
  <c r="DI392" i="1"/>
  <c r="DA393" i="1"/>
  <c r="DB393" i="1"/>
  <c r="DC393" i="1"/>
  <c r="DD393" i="1"/>
  <c r="DE393" i="1"/>
  <c r="DF393" i="1"/>
  <c r="DG393" i="1"/>
  <c r="DH393" i="1"/>
  <c r="DI393" i="1"/>
  <c r="DA394" i="1"/>
  <c r="DB394" i="1"/>
  <c r="DC394" i="1"/>
  <c r="DD394" i="1"/>
  <c r="DE394" i="1"/>
  <c r="DF394" i="1"/>
  <c r="DG394" i="1"/>
  <c r="DH394" i="1"/>
  <c r="DI394" i="1"/>
  <c r="DA395" i="1"/>
  <c r="DB395" i="1"/>
  <c r="DC395" i="1"/>
  <c r="DD395" i="1"/>
  <c r="DE395" i="1"/>
  <c r="DF395" i="1"/>
  <c r="DG395" i="1"/>
  <c r="DH395" i="1"/>
  <c r="DI395" i="1"/>
  <c r="DA396" i="1"/>
  <c r="DB396" i="1"/>
  <c r="DC396" i="1"/>
  <c r="DD396" i="1"/>
  <c r="DE396" i="1"/>
  <c r="DF396" i="1"/>
  <c r="DG396" i="1"/>
  <c r="DH396" i="1"/>
  <c r="DI396" i="1"/>
  <c r="DA397" i="1"/>
  <c r="DB397" i="1"/>
  <c r="DC397" i="1"/>
  <c r="DD397" i="1"/>
  <c r="DE397" i="1"/>
  <c r="DF397" i="1"/>
  <c r="DG397" i="1"/>
  <c r="DH397" i="1"/>
  <c r="DI397" i="1"/>
  <c r="DA398" i="1"/>
  <c r="DB398" i="1"/>
  <c r="DC398" i="1"/>
  <c r="DD398" i="1"/>
  <c r="DE398" i="1"/>
  <c r="DF398" i="1"/>
  <c r="DG398" i="1"/>
  <c r="DH398" i="1"/>
  <c r="DI398" i="1"/>
  <c r="DA399" i="1"/>
  <c r="DB399" i="1"/>
  <c r="DC399" i="1"/>
  <c r="DD399" i="1"/>
  <c r="DE399" i="1"/>
  <c r="DF399" i="1"/>
  <c r="DG399" i="1"/>
  <c r="DH399" i="1"/>
  <c r="DI399" i="1"/>
  <c r="DA400" i="1"/>
  <c r="DB400" i="1"/>
  <c r="DC400" i="1"/>
  <c r="DD400" i="1"/>
  <c r="DE400" i="1"/>
  <c r="DF400" i="1"/>
  <c r="DG400" i="1"/>
  <c r="DH400" i="1"/>
  <c r="DI400" i="1"/>
  <c r="DA401" i="1"/>
  <c r="DB401" i="1"/>
  <c r="DC401" i="1"/>
  <c r="DD401" i="1"/>
  <c r="DE401" i="1"/>
  <c r="DF401" i="1"/>
  <c r="DG401" i="1"/>
  <c r="DH401" i="1"/>
  <c r="DI401" i="1"/>
  <c r="DA402" i="1"/>
  <c r="DB402" i="1"/>
  <c r="DC402" i="1"/>
  <c r="DD402" i="1"/>
  <c r="DE402" i="1"/>
  <c r="DF402" i="1"/>
  <c r="DG402" i="1"/>
  <c r="DH402" i="1"/>
  <c r="DI402" i="1"/>
  <c r="DA403" i="1"/>
  <c r="DB403" i="1"/>
  <c r="DC403" i="1"/>
  <c r="DD403" i="1"/>
  <c r="DE403" i="1"/>
  <c r="DF403" i="1"/>
  <c r="DG403" i="1"/>
  <c r="DH403" i="1"/>
  <c r="DI403" i="1"/>
  <c r="DA404" i="1"/>
  <c r="DB404" i="1"/>
  <c r="DC404" i="1"/>
  <c r="DD404" i="1"/>
  <c r="DE404" i="1"/>
  <c r="DF404" i="1"/>
  <c r="DG404" i="1"/>
  <c r="DH404" i="1"/>
  <c r="DI404" i="1"/>
  <c r="DA405" i="1"/>
  <c r="DB405" i="1"/>
  <c r="DC405" i="1"/>
  <c r="DD405" i="1"/>
  <c r="DE405" i="1"/>
  <c r="DF405" i="1"/>
  <c r="DG405" i="1"/>
  <c r="DH405" i="1"/>
  <c r="DI405" i="1"/>
  <c r="DA406" i="1"/>
  <c r="DB406" i="1"/>
  <c r="DC406" i="1"/>
  <c r="DD406" i="1"/>
  <c r="DE406" i="1"/>
  <c r="DF406" i="1"/>
  <c r="DG406" i="1"/>
  <c r="DH406" i="1"/>
  <c r="DI406" i="1"/>
  <c r="DA407" i="1"/>
  <c r="DB407" i="1"/>
  <c r="DC407" i="1"/>
  <c r="DD407" i="1"/>
  <c r="DE407" i="1"/>
  <c r="DF407" i="1"/>
  <c r="DG407" i="1"/>
  <c r="DH407" i="1"/>
  <c r="DI407" i="1"/>
  <c r="DA408" i="1"/>
  <c r="DB408" i="1"/>
  <c r="DC408" i="1"/>
  <c r="DD408" i="1"/>
  <c r="DE408" i="1"/>
  <c r="DF408" i="1"/>
  <c r="DG408" i="1"/>
  <c r="DH408" i="1"/>
  <c r="DI408" i="1"/>
  <c r="DA409" i="1"/>
  <c r="DB409" i="1"/>
  <c r="DC409" i="1"/>
  <c r="DD409" i="1"/>
  <c r="DE409" i="1"/>
  <c r="DF409" i="1"/>
  <c r="DG409" i="1"/>
  <c r="DH409" i="1"/>
  <c r="DI409" i="1"/>
  <c r="DA410" i="1"/>
  <c r="DB410" i="1"/>
  <c r="DC410" i="1"/>
  <c r="DD410" i="1"/>
  <c r="DE410" i="1"/>
  <c r="DF410" i="1"/>
  <c r="DG410" i="1"/>
  <c r="DH410" i="1"/>
  <c r="DI410" i="1"/>
  <c r="DA411" i="1"/>
  <c r="DB411" i="1"/>
  <c r="DC411" i="1"/>
  <c r="DD411" i="1"/>
  <c r="DE411" i="1"/>
  <c r="DF411" i="1"/>
  <c r="DG411" i="1"/>
  <c r="DH411" i="1"/>
  <c r="DI411" i="1"/>
  <c r="DA412" i="1"/>
  <c r="DB412" i="1"/>
  <c r="DC412" i="1"/>
  <c r="DD412" i="1"/>
  <c r="DE412" i="1"/>
  <c r="DF412" i="1"/>
  <c r="DG412" i="1"/>
  <c r="DH412" i="1"/>
  <c r="DI412" i="1"/>
  <c r="DA413" i="1"/>
  <c r="DB413" i="1"/>
  <c r="DC413" i="1"/>
  <c r="DD413" i="1"/>
  <c r="DE413" i="1"/>
  <c r="DF413" i="1"/>
  <c r="DG413" i="1"/>
  <c r="DH413" i="1"/>
  <c r="DI413" i="1"/>
  <c r="DA414" i="1"/>
  <c r="DB414" i="1"/>
  <c r="DC414" i="1"/>
  <c r="DD414" i="1"/>
  <c r="DE414" i="1"/>
  <c r="DF414" i="1"/>
  <c r="DG414" i="1"/>
  <c r="DH414" i="1"/>
  <c r="DI414" i="1"/>
  <c r="DA415" i="1"/>
  <c r="DB415" i="1"/>
  <c r="DC415" i="1"/>
  <c r="DD415" i="1"/>
  <c r="DE415" i="1"/>
  <c r="DF415" i="1"/>
  <c r="DG415" i="1"/>
  <c r="DH415" i="1"/>
  <c r="DI415" i="1"/>
  <c r="DA416" i="1"/>
  <c r="DB416" i="1"/>
  <c r="DC416" i="1"/>
  <c r="DD416" i="1"/>
  <c r="DE416" i="1"/>
  <c r="DF416" i="1"/>
  <c r="DG416" i="1"/>
  <c r="DH416" i="1"/>
  <c r="DI416" i="1"/>
  <c r="DA417" i="1"/>
  <c r="DB417" i="1"/>
  <c r="DC417" i="1"/>
  <c r="DD417" i="1"/>
  <c r="DE417" i="1"/>
  <c r="DF417" i="1"/>
  <c r="DG417" i="1"/>
  <c r="DH417" i="1"/>
  <c r="DI417" i="1"/>
  <c r="DA418" i="1"/>
  <c r="DB418" i="1"/>
  <c r="DC418" i="1"/>
  <c r="DD418" i="1"/>
  <c r="DE418" i="1"/>
  <c r="DF418" i="1"/>
  <c r="DG418" i="1"/>
  <c r="DH418" i="1"/>
  <c r="DI418" i="1"/>
  <c r="DA419" i="1"/>
  <c r="DB419" i="1"/>
  <c r="DC419" i="1"/>
  <c r="DD419" i="1"/>
  <c r="DE419" i="1"/>
  <c r="DF419" i="1"/>
  <c r="DG419" i="1"/>
  <c r="DH419" i="1"/>
  <c r="DI419" i="1"/>
  <c r="DA420" i="1"/>
  <c r="DB420" i="1"/>
  <c r="DC420" i="1"/>
  <c r="DD420" i="1"/>
  <c r="DE420" i="1"/>
  <c r="DF420" i="1"/>
  <c r="DG420" i="1"/>
  <c r="DH420" i="1"/>
  <c r="DI420" i="1"/>
  <c r="DA421" i="1"/>
  <c r="DB421" i="1"/>
  <c r="DC421" i="1"/>
  <c r="DD421" i="1"/>
  <c r="DE421" i="1"/>
  <c r="DF421" i="1"/>
  <c r="DG421" i="1"/>
  <c r="DH421" i="1"/>
  <c r="DI421" i="1"/>
  <c r="DA422" i="1"/>
  <c r="DB422" i="1"/>
  <c r="DC422" i="1"/>
  <c r="DD422" i="1"/>
  <c r="DE422" i="1"/>
  <c r="DF422" i="1"/>
  <c r="DG422" i="1"/>
  <c r="DH422" i="1"/>
  <c r="DI422" i="1"/>
  <c r="DA423" i="1"/>
  <c r="DB423" i="1"/>
  <c r="DC423" i="1"/>
  <c r="DD423" i="1"/>
  <c r="DE423" i="1"/>
  <c r="DF423" i="1"/>
  <c r="DG423" i="1"/>
  <c r="DH423" i="1"/>
  <c r="DI423" i="1"/>
  <c r="DA424" i="1"/>
  <c r="DB424" i="1"/>
  <c r="DC424" i="1"/>
  <c r="DD424" i="1"/>
  <c r="DE424" i="1"/>
  <c r="DF424" i="1"/>
  <c r="DG424" i="1"/>
  <c r="DH424" i="1"/>
  <c r="DI424" i="1"/>
  <c r="DA425" i="1"/>
  <c r="DB425" i="1"/>
  <c r="DC425" i="1"/>
  <c r="DD425" i="1"/>
  <c r="DE425" i="1"/>
  <c r="DF425" i="1"/>
  <c r="DG425" i="1"/>
  <c r="DH425" i="1"/>
  <c r="DI425" i="1"/>
  <c r="DA426" i="1"/>
  <c r="DB426" i="1"/>
  <c r="DC426" i="1"/>
  <c r="DD426" i="1"/>
  <c r="DE426" i="1"/>
  <c r="DF426" i="1"/>
  <c r="DG426" i="1"/>
  <c r="DH426" i="1"/>
  <c r="DI426" i="1"/>
  <c r="DA427" i="1"/>
  <c r="DB427" i="1"/>
  <c r="DC427" i="1"/>
  <c r="DD427" i="1"/>
  <c r="DE427" i="1"/>
  <c r="DF427" i="1"/>
  <c r="DG427" i="1"/>
  <c r="DH427" i="1"/>
  <c r="DI427" i="1"/>
  <c r="DA428" i="1"/>
  <c r="DB428" i="1"/>
  <c r="DC428" i="1"/>
  <c r="DD428" i="1"/>
  <c r="DE428" i="1"/>
  <c r="DF428" i="1"/>
  <c r="DG428" i="1"/>
  <c r="DH428" i="1"/>
  <c r="DI428" i="1"/>
  <c r="DA429" i="1"/>
  <c r="DB429" i="1"/>
  <c r="DC429" i="1"/>
  <c r="DD429" i="1"/>
  <c r="DE429" i="1"/>
  <c r="DF429" i="1"/>
  <c r="DG429" i="1"/>
  <c r="DH429" i="1"/>
  <c r="DI429" i="1"/>
  <c r="DA430" i="1"/>
  <c r="DB430" i="1"/>
  <c r="DC430" i="1"/>
  <c r="DD430" i="1"/>
  <c r="DE430" i="1"/>
  <c r="DF430" i="1"/>
  <c r="DG430" i="1"/>
  <c r="DH430" i="1"/>
  <c r="DI430" i="1"/>
  <c r="DA431" i="1"/>
  <c r="DB431" i="1"/>
  <c r="DC431" i="1"/>
  <c r="DD431" i="1"/>
  <c r="DE431" i="1"/>
  <c r="DF431" i="1"/>
  <c r="DG431" i="1"/>
  <c r="DH431" i="1"/>
  <c r="DI431" i="1"/>
  <c r="DA432" i="1"/>
  <c r="DB432" i="1"/>
  <c r="DC432" i="1"/>
  <c r="DD432" i="1"/>
  <c r="DE432" i="1"/>
  <c r="DF432" i="1"/>
  <c r="DG432" i="1"/>
  <c r="DH432" i="1"/>
  <c r="DI432" i="1"/>
  <c r="DA433" i="1"/>
  <c r="DB433" i="1"/>
  <c r="DC433" i="1"/>
  <c r="DD433" i="1"/>
  <c r="DE433" i="1"/>
  <c r="DF433" i="1"/>
  <c r="DG433" i="1"/>
  <c r="DH433" i="1"/>
  <c r="DI433" i="1"/>
  <c r="DA434" i="1"/>
  <c r="DB434" i="1"/>
  <c r="DC434" i="1"/>
  <c r="DD434" i="1"/>
  <c r="DE434" i="1"/>
  <c r="DF434" i="1"/>
  <c r="DG434" i="1"/>
  <c r="DH434" i="1"/>
  <c r="DI434" i="1"/>
  <c r="DA435" i="1"/>
  <c r="DB435" i="1"/>
  <c r="DC435" i="1"/>
  <c r="DD435" i="1"/>
  <c r="DE435" i="1"/>
  <c r="DF435" i="1"/>
  <c r="DG435" i="1"/>
  <c r="DH435" i="1"/>
  <c r="DI435" i="1"/>
  <c r="DA436" i="1"/>
  <c r="DB436" i="1"/>
  <c r="DC436" i="1"/>
  <c r="DD436" i="1"/>
  <c r="DE436" i="1"/>
  <c r="DF436" i="1"/>
  <c r="DG436" i="1"/>
  <c r="DH436" i="1"/>
  <c r="DI436" i="1"/>
  <c r="DA437" i="1"/>
  <c r="DB437" i="1"/>
  <c r="DC437" i="1"/>
  <c r="DD437" i="1"/>
  <c r="DE437" i="1"/>
  <c r="DF437" i="1"/>
  <c r="DG437" i="1"/>
  <c r="DH437" i="1"/>
  <c r="DI437" i="1"/>
  <c r="DA438" i="1"/>
  <c r="DB438" i="1"/>
  <c r="DC438" i="1"/>
  <c r="DD438" i="1"/>
  <c r="DE438" i="1"/>
  <c r="DF438" i="1"/>
  <c r="DG438" i="1"/>
  <c r="DH438" i="1"/>
  <c r="DI438" i="1"/>
  <c r="DA439" i="1"/>
  <c r="DB439" i="1"/>
  <c r="DC439" i="1"/>
  <c r="DD439" i="1"/>
  <c r="DE439" i="1"/>
  <c r="DF439" i="1"/>
  <c r="DG439" i="1"/>
  <c r="DH439" i="1"/>
  <c r="DI439" i="1"/>
  <c r="DA440" i="1"/>
  <c r="DB440" i="1"/>
  <c r="DC440" i="1"/>
  <c r="DD440" i="1"/>
  <c r="DE440" i="1"/>
  <c r="DF440" i="1"/>
  <c r="DG440" i="1"/>
  <c r="DH440" i="1"/>
  <c r="DI440" i="1"/>
  <c r="DA441" i="1"/>
  <c r="DB441" i="1"/>
  <c r="DC441" i="1"/>
  <c r="DD441" i="1"/>
  <c r="DE441" i="1"/>
  <c r="DF441" i="1"/>
  <c r="DG441" i="1"/>
  <c r="DH441" i="1"/>
  <c r="DI441" i="1"/>
  <c r="DA442" i="1"/>
  <c r="DB442" i="1"/>
  <c r="DC442" i="1"/>
  <c r="DD442" i="1"/>
  <c r="DE442" i="1"/>
  <c r="DF442" i="1"/>
  <c r="DG442" i="1"/>
  <c r="DH442" i="1"/>
  <c r="DI442" i="1"/>
  <c r="DA443" i="1"/>
  <c r="DB443" i="1"/>
  <c r="DC443" i="1"/>
  <c r="DD443" i="1"/>
  <c r="DE443" i="1"/>
  <c r="DF443" i="1"/>
  <c r="DG443" i="1"/>
  <c r="DH443" i="1"/>
  <c r="DI443" i="1"/>
  <c r="DA444" i="1"/>
  <c r="DB444" i="1"/>
  <c r="DC444" i="1"/>
  <c r="DD444" i="1"/>
  <c r="DE444" i="1"/>
  <c r="DF444" i="1"/>
  <c r="DG444" i="1"/>
  <c r="DH444" i="1"/>
  <c r="DI444" i="1"/>
  <c r="DA445" i="1"/>
  <c r="DB445" i="1"/>
  <c r="DC445" i="1"/>
  <c r="DD445" i="1"/>
  <c r="DE445" i="1"/>
  <c r="DF445" i="1"/>
  <c r="DG445" i="1"/>
  <c r="DH445" i="1"/>
  <c r="DI445" i="1"/>
  <c r="DA446" i="1"/>
  <c r="DB446" i="1"/>
  <c r="DC446" i="1"/>
  <c r="DD446" i="1"/>
  <c r="DE446" i="1"/>
  <c r="DF446" i="1"/>
  <c r="DG446" i="1"/>
  <c r="DH446" i="1"/>
  <c r="DI446" i="1"/>
  <c r="DA447" i="1"/>
  <c r="DB447" i="1"/>
  <c r="DC447" i="1"/>
  <c r="DD447" i="1"/>
  <c r="DE447" i="1"/>
  <c r="DF447" i="1"/>
  <c r="DG447" i="1"/>
  <c r="DH447" i="1"/>
  <c r="DI447" i="1"/>
  <c r="DA448" i="1"/>
  <c r="DB448" i="1"/>
  <c r="DC448" i="1"/>
  <c r="DD448" i="1"/>
  <c r="DE448" i="1"/>
  <c r="DF448" i="1"/>
  <c r="DG448" i="1"/>
  <c r="DH448" i="1"/>
  <c r="DI448" i="1"/>
  <c r="DA449" i="1"/>
  <c r="DB449" i="1"/>
  <c r="DC449" i="1"/>
  <c r="DD449" i="1"/>
  <c r="DE449" i="1"/>
  <c r="DF449" i="1"/>
  <c r="DG449" i="1"/>
  <c r="DH449" i="1"/>
  <c r="DI449" i="1"/>
  <c r="DA450" i="1"/>
  <c r="DB450" i="1"/>
  <c r="DC450" i="1"/>
  <c r="DD450" i="1"/>
  <c r="DE450" i="1"/>
  <c r="DF450" i="1"/>
  <c r="DG450" i="1"/>
  <c r="DH450" i="1"/>
  <c r="DI450" i="1"/>
  <c r="DA451" i="1"/>
  <c r="DB451" i="1"/>
  <c r="DC451" i="1"/>
  <c r="DD451" i="1"/>
  <c r="DE451" i="1"/>
  <c r="DF451" i="1"/>
  <c r="DG451" i="1"/>
  <c r="DH451" i="1"/>
  <c r="DI451" i="1"/>
  <c r="DA452" i="1"/>
  <c r="DB452" i="1"/>
  <c r="DC452" i="1"/>
  <c r="DD452" i="1"/>
  <c r="DE452" i="1"/>
  <c r="DF452" i="1"/>
  <c r="DG452" i="1"/>
  <c r="DH452" i="1"/>
  <c r="DI452" i="1"/>
  <c r="DA453" i="1"/>
  <c r="DB453" i="1"/>
  <c r="DC453" i="1"/>
  <c r="DD453" i="1"/>
  <c r="DE453" i="1"/>
  <c r="DF453" i="1"/>
  <c r="DG453" i="1"/>
  <c r="DH453" i="1"/>
  <c r="DI453" i="1"/>
  <c r="DA454" i="1"/>
  <c r="DB454" i="1"/>
  <c r="DC454" i="1"/>
  <c r="DD454" i="1"/>
  <c r="DE454" i="1"/>
  <c r="DF454" i="1"/>
  <c r="DG454" i="1"/>
  <c r="DH454" i="1"/>
  <c r="DI454" i="1"/>
  <c r="DA455" i="1"/>
  <c r="DB455" i="1"/>
  <c r="DC455" i="1"/>
  <c r="DD455" i="1"/>
  <c r="DE455" i="1"/>
  <c r="DF455" i="1"/>
  <c r="DG455" i="1"/>
  <c r="DH455" i="1"/>
  <c r="DI455" i="1"/>
  <c r="DA456" i="1"/>
  <c r="DB456" i="1"/>
  <c r="DC456" i="1"/>
  <c r="DD456" i="1"/>
  <c r="DE456" i="1"/>
  <c r="DF456" i="1"/>
  <c r="DG456" i="1"/>
  <c r="DH456" i="1"/>
  <c r="DI456" i="1"/>
  <c r="DA457" i="1"/>
  <c r="DB457" i="1"/>
  <c r="DC457" i="1"/>
  <c r="DD457" i="1"/>
  <c r="DE457" i="1"/>
  <c r="DF457" i="1"/>
  <c r="DG457" i="1"/>
  <c r="DH457" i="1"/>
  <c r="DI457" i="1"/>
  <c r="DA458" i="1"/>
  <c r="DB458" i="1"/>
  <c r="DC458" i="1"/>
  <c r="DD458" i="1"/>
  <c r="DE458" i="1"/>
  <c r="DF458" i="1"/>
  <c r="DG458" i="1"/>
  <c r="DH458" i="1"/>
  <c r="DI458" i="1"/>
  <c r="DA459" i="1"/>
  <c r="DB459" i="1"/>
  <c r="DC459" i="1"/>
  <c r="DD459" i="1"/>
  <c r="DE459" i="1"/>
  <c r="DF459" i="1"/>
  <c r="DG459" i="1"/>
  <c r="DH459" i="1"/>
  <c r="DI459" i="1"/>
  <c r="DA460" i="1"/>
  <c r="DB460" i="1"/>
  <c r="DC460" i="1"/>
  <c r="DD460" i="1"/>
  <c r="DE460" i="1"/>
  <c r="DF460" i="1"/>
  <c r="DG460" i="1"/>
  <c r="DH460" i="1"/>
  <c r="DI460" i="1"/>
  <c r="DA461" i="1"/>
  <c r="DB461" i="1"/>
  <c r="DC461" i="1"/>
  <c r="DD461" i="1"/>
  <c r="DE461" i="1"/>
  <c r="DF461" i="1"/>
  <c r="DG461" i="1"/>
  <c r="DH461" i="1"/>
  <c r="DI461" i="1"/>
  <c r="DA462" i="1"/>
  <c r="DB462" i="1"/>
  <c r="DC462" i="1"/>
  <c r="DD462" i="1"/>
  <c r="DE462" i="1"/>
  <c r="DF462" i="1"/>
  <c r="DG462" i="1"/>
  <c r="DH462" i="1"/>
  <c r="DI462" i="1"/>
  <c r="DA463" i="1"/>
  <c r="DB463" i="1"/>
  <c r="DC463" i="1"/>
  <c r="DD463" i="1"/>
  <c r="DE463" i="1"/>
  <c r="DF463" i="1"/>
  <c r="DG463" i="1"/>
  <c r="DH463" i="1"/>
  <c r="DI463" i="1"/>
  <c r="DA464" i="1"/>
  <c r="DB464" i="1"/>
  <c r="DC464" i="1"/>
  <c r="DD464" i="1"/>
  <c r="DE464" i="1"/>
  <c r="DF464" i="1"/>
  <c r="DG464" i="1"/>
  <c r="DH464" i="1"/>
  <c r="DI464" i="1"/>
  <c r="DA465" i="1"/>
  <c r="DB465" i="1"/>
  <c r="DC465" i="1"/>
  <c r="DD465" i="1"/>
  <c r="DE465" i="1"/>
  <c r="DF465" i="1"/>
  <c r="DG465" i="1"/>
  <c r="DH465" i="1"/>
  <c r="DI465" i="1"/>
  <c r="DA466" i="1"/>
  <c r="DB466" i="1"/>
  <c r="DC466" i="1"/>
  <c r="DD466" i="1"/>
  <c r="DE466" i="1"/>
  <c r="DF466" i="1"/>
  <c r="DG466" i="1"/>
  <c r="DH466" i="1"/>
  <c r="DI466" i="1"/>
  <c r="DA467" i="1"/>
  <c r="DB467" i="1"/>
  <c r="DC467" i="1"/>
  <c r="DD467" i="1"/>
  <c r="DE467" i="1"/>
  <c r="DF467" i="1"/>
  <c r="DG467" i="1"/>
  <c r="DH467" i="1"/>
  <c r="DI467" i="1"/>
  <c r="DA468" i="1"/>
  <c r="DB468" i="1"/>
  <c r="DC468" i="1"/>
  <c r="DD468" i="1"/>
  <c r="DE468" i="1"/>
  <c r="DF468" i="1"/>
  <c r="DG468" i="1"/>
  <c r="DH468" i="1"/>
  <c r="DI468" i="1"/>
  <c r="DA469" i="1"/>
  <c r="DB469" i="1"/>
  <c r="DC469" i="1"/>
  <c r="DD469" i="1"/>
  <c r="DE469" i="1"/>
  <c r="DF469" i="1"/>
  <c r="DG469" i="1"/>
  <c r="DH469" i="1"/>
  <c r="DI469" i="1"/>
  <c r="DA470" i="1"/>
  <c r="DB470" i="1"/>
  <c r="DC470" i="1"/>
  <c r="DD470" i="1"/>
  <c r="DE470" i="1"/>
  <c r="DF470" i="1"/>
  <c r="DG470" i="1"/>
  <c r="DH470" i="1"/>
  <c r="DI470" i="1"/>
  <c r="DA471" i="1"/>
  <c r="DB471" i="1"/>
  <c r="DC471" i="1"/>
  <c r="DD471" i="1"/>
  <c r="DE471" i="1"/>
  <c r="DF471" i="1"/>
  <c r="DG471" i="1"/>
  <c r="DH471" i="1"/>
  <c r="DI471" i="1"/>
  <c r="DA472" i="1"/>
  <c r="DB472" i="1"/>
  <c r="DC472" i="1"/>
  <c r="DD472" i="1"/>
  <c r="DE472" i="1"/>
  <c r="DF472" i="1"/>
  <c r="DG472" i="1"/>
  <c r="DH472" i="1"/>
  <c r="DI472" i="1"/>
  <c r="DA473" i="1"/>
  <c r="DB473" i="1"/>
  <c r="DC473" i="1"/>
  <c r="DD473" i="1"/>
  <c r="DE473" i="1"/>
  <c r="DF473" i="1"/>
  <c r="DG473" i="1"/>
  <c r="DH473" i="1"/>
  <c r="DI473" i="1"/>
  <c r="DA474" i="1"/>
  <c r="DB474" i="1"/>
  <c r="DC474" i="1"/>
  <c r="DD474" i="1"/>
  <c r="DE474" i="1"/>
  <c r="DF474" i="1"/>
  <c r="DG474" i="1"/>
  <c r="DH474" i="1"/>
  <c r="DI474" i="1"/>
  <c r="DA475" i="1"/>
  <c r="DB475" i="1"/>
  <c r="DC475" i="1"/>
  <c r="DD475" i="1"/>
  <c r="DE475" i="1"/>
  <c r="DF475" i="1"/>
  <c r="DG475" i="1"/>
  <c r="DH475" i="1"/>
  <c r="DI475" i="1"/>
  <c r="DA476" i="1"/>
  <c r="DB476" i="1"/>
  <c r="DC476" i="1"/>
  <c r="DD476" i="1"/>
  <c r="DE476" i="1"/>
  <c r="DF476" i="1"/>
  <c r="DG476" i="1"/>
  <c r="DH476" i="1"/>
  <c r="DI476" i="1"/>
  <c r="DA477" i="1"/>
  <c r="DB477" i="1"/>
  <c r="DC477" i="1"/>
  <c r="DD477" i="1"/>
  <c r="DE477" i="1"/>
  <c r="DF477" i="1"/>
  <c r="DG477" i="1"/>
  <c r="DH477" i="1"/>
  <c r="DI477" i="1"/>
  <c r="DA478" i="1"/>
  <c r="DB478" i="1"/>
  <c r="DC478" i="1"/>
  <c r="DD478" i="1"/>
  <c r="DE478" i="1"/>
  <c r="DF478" i="1"/>
  <c r="DG478" i="1"/>
  <c r="DH478" i="1"/>
  <c r="DI478" i="1"/>
  <c r="DA479" i="1"/>
  <c r="DB479" i="1"/>
  <c r="DC479" i="1"/>
  <c r="DD479" i="1"/>
  <c r="DE479" i="1"/>
  <c r="DF479" i="1"/>
  <c r="DG479" i="1"/>
  <c r="DH479" i="1"/>
  <c r="DI479" i="1"/>
  <c r="DA480" i="1"/>
  <c r="DB480" i="1"/>
  <c r="DC480" i="1"/>
  <c r="DD480" i="1"/>
  <c r="DE480" i="1"/>
  <c r="DF480" i="1"/>
  <c r="DG480" i="1"/>
  <c r="DH480" i="1"/>
  <c r="DI480" i="1"/>
  <c r="DA481" i="1"/>
  <c r="DB481" i="1"/>
  <c r="DC481" i="1"/>
  <c r="DD481" i="1"/>
  <c r="DE481" i="1"/>
  <c r="DF481" i="1"/>
  <c r="DG481" i="1"/>
  <c r="DH481" i="1"/>
  <c r="DI481" i="1"/>
  <c r="DA482" i="1"/>
  <c r="DB482" i="1"/>
  <c r="DC482" i="1"/>
  <c r="DD482" i="1"/>
  <c r="DE482" i="1"/>
  <c r="DF482" i="1"/>
  <c r="DG482" i="1"/>
  <c r="DH482" i="1"/>
  <c r="DI482" i="1"/>
  <c r="DA483" i="1"/>
  <c r="DB483" i="1"/>
  <c r="DC483" i="1"/>
  <c r="DD483" i="1"/>
  <c r="DE483" i="1"/>
  <c r="DF483" i="1"/>
  <c r="DG483" i="1"/>
  <c r="DH483" i="1"/>
  <c r="DI483" i="1"/>
  <c r="DA484" i="1"/>
  <c r="DB484" i="1"/>
  <c r="DC484" i="1"/>
  <c r="DD484" i="1"/>
  <c r="DE484" i="1"/>
  <c r="DF484" i="1"/>
  <c r="DG484" i="1"/>
  <c r="DH484" i="1"/>
  <c r="DI484" i="1"/>
  <c r="DA485" i="1"/>
  <c r="DB485" i="1"/>
  <c r="DC485" i="1"/>
  <c r="DD485" i="1"/>
  <c r="DE485" i="1"/>
  <c r="DF485" i="1"/>
  <c r="DG485" i="1"/>
  <c r="DH485" i="1"/>
  <c r="DI485" i="1"/>
  <c r="DA486" i="1"/>
  <c r="DB486" i="1"/>
  <c r="DC486" i="1"/>
  <c r="DD486" i="1"/>
  <c r="DE486" i="1"/>
  <c r="DF486" i="1"/>
  <c r="DG486" i="1"/>
  <c r="DH486" i="1"/>
  <c r="DI486" i="1"/>
  <c r="DA487" i="1"/>
  <c r="DB487" i="1"/>
  <c r="DC487" i="1"/>
  <c r="DD487" i="1"/>
  <c r="DE487" i="1"/>
  <c r="DF487" i="1"/>
  <c r="DG487" i="1"/>
  <c r="DH487" i="1"/>
  <c r="DI487" i="1"/>
  <c r="DA488" i="1"/>
  <c r="DB488" i="1"/>
  <c r="DC488" i="1"/>
  <c r="DD488" i="1"/>
  <c r="DE488" i="1"/>
  <c r="DF488" i="1"/>
  <c r="DG488" i="1"/>
  <c r="DH488" i="1"/>
  <c r="DI488" i="1"/>
  <c r="DA489" i="1"/>
  <c r="DB489" i="1"/>
  <c r="DC489" i="1"/>
  <c r="DD489" i="1"/>
  <c r="DE489" i="1"/>
  <c r="DF489" i="1"/>
  <c r="DG489" i="1"/>
  <c r="DH489" i="1"/>
  <c r="DI489" i="1"/>
  <c r="DA490" i="1"/>
  <c r="DB490" i="1"/>
  <c r="DC490" i="1"/>
  <c r="DD490" i="1"/>
  <c r="DE490" i="1"/>
  <c r="DF490" i="1"/>
  <c r="DG490" i="1"/>
  <c r="DH490" i="1"/>
  <c r="DI490" i="1"/>
  <c r="DA491" i="1"/>
  <c r="DB491" i="1"/>
  <c r="DC491" i="1"/>
  <c r="DD491" i="1"/>
  <c r="DE491" i="1"/>
  <c r="DF491" i="1"/>
  <c r="DG491" i="1"/>
  <c r="DH491" i="1"/>
  <c r="DI491" i="1"/>
  <c r="DA492" i="1"/>
  <c r="DB492" i="1"/>
  <c r="DC492" i="1"/>
  <c r="DD492" i="1"/>
  <c r="DE492" i="1"/>
  <c r="DF492" i="1"/>
  <c r="DG492" i="1"/>
  <c r="DH492" i="1"/>
  <c r="DI492" i="1"/>
  <c r="DA493" i="1"/>
  <c r="DB493" i="1"/>
  <c r="DC493" i="1"/>
  <c r="DD493" i="1"/>
  <c r="DE493" i="1"/>
  <c r="DF493" i="1"/>
  <c r="DG493" i="1"/>
  <c r="DH493" i="1"/>
  <c r="DI493" i="1"/>
  <c r="DA494" i="1"/>
  <c r="DB494" i="1"/>
  <c r="DC494" i="1"/>
  <c r="DD494" i="1"/>
  <c r="DE494" i="1"/>
  <c r="DF494" i="1"/>
  <c r="DG494" i="1"/>
  <c r="DH494" i="1"/>
  <c r="DI494" i="1"/>
  <c r="DA495" i="1"/>
  <c r="DB495" i="1"/>
  <c r="DC495" i="1"/>
  <c r="DD495" i="1"/>
  <c r="DE495" i="1"/>
  <c r="DF495" i="1"/>
  <c r="DG495" i="1"/>
  <c r="DH495" i="1"/>
  <c r="DI495" i="1"/>
  <c r="DA496" i="1"/>
  <c r="DB496" i="1"/>
  <c r="DC496" i="1"/>
  <c r="DD496" i="1"/>
  <c r="DE496" i="1"/>
  <c r="DF496" i="1"/>
  <c r="DG496" i="1"/>
  <c r="DH496" i="1"/>
  <c r="DI496" i="1"/>
  <c r="DA497" i="1"/>
  <c r="DB497" i="1"/>
  <c r="DC497" i="1"/>
  <c r="DD497" i="1"/>
  <c r="DE497" i="1"/>
  <c r="DF497" i="1"/>
  <c r="DG497" i="1"/>
  <c r="DH497" i="1"/>
  <c r="DI497" i="1"/>
  <c r="DA498" i="1"/>
  <c r="DB498" i="1"/>
  <c r="DC498" i="1"/>
  <c r="DD498" i="1"/>
  <c r="DE498" i="1"/>
  <c r="DF498" i="1"/>
  <c r="DG498" i="1"/>
  <c r="DH498" i="1"/>
  <c r="DI498" i="1"/>
  <c r="DA499" i="1"/>
  <c r="DB499" i="1"/>
  <c r="DC499" i="1"/>
  <c r="DD499" i="1"/>
  <c r="DE499" i="1"/>
  <c r="DF499" i="1"/>
  <c r="DG499" i="1"/>
  <c r="DH499" i="1"/>
  <c r="DI499" i="1"/>
  <c r="DA500" i="1"/>
  <c r="DB500" i="1"/>
  <c r="DC500" i="1"/>
  <c r="DD500" i="1"/>
  <c r="DE500" i="1"/>
  <c r="DF500" i="1"/>
  <c r="DG500" i="1"/>
  <c r="DH500" i="1"/>
  <c r="DI500" i="1"/>
  <c r="DA501" i="1"/>
  <c r="DB501" i="1"/>
  <c r="DC501" i="1"/>
  <c r="DD501" i="1"/>
  <c r="DE501" i="1"/>
  <c r="DF501" i="1"/>
  <c r="DG501" i="1"/>
  <c r="DH501" i="1"/>
  <c r="DI501" i="1"/>
  <c r="DA502" i="1"/>
  <c r="DB502" i="1"/>
  <c r="DC502" i="1"/>
  <c r="DD502" i="1"/>
  <c r="DE502" i="1"/>
  <c r="DF502" i="1"/>
  <c r="DG502" i="1"/>
  <c r="DH502" i="1"/>
  <c r="DI502" i="1"/>
  <c r="DA503" i="1"/>
  <c r="DB503" i="1"/>
  <c r="DC503" i="1"/>
  <c r="DD503" i="1"/>
  <c r="DE503" i="1"/>
  <c r="DF503" i="1"/>
  <c r="DG503" i="1"/>
  <c r="DH503" i="1"/>
  <c r="DI503" i="1"/>
  <c r="DA504" i="1"/>
  <c r="DB504" i="1"/>
  <c r="DC504" i="1"/>
  <c r="DD504" i="1"/>
  <c r="DE504" i="1"/>
  <c r="DF504" i="1"/>
  <c r="DG504" i="1"/>
  <c r="DH504" i="1"/>
  <c r="DI504" i="1"/>
  <c r="DA505" i="1"/>
  <c r="DB505" i="1"/>
  <c r="DC505" i="1"/>
  <c r="DD505" i="1"/>
  <c r="DE505" i="1"/>
  <c r="DF505" i="1"/>
  <c r="DG505" i="1"/>
  <c r="DH505" i="1"/>
  <c r="DI505" i="1"/>
  <c r="DA506" i="1"/>
  <c r="DB506" i="1"/>
  <c r="DC506" i="1"/>
  <c r="DD506" i="1"/>
  <c r="DE506" i="1"/>
  <c r="DF506" i="1"/>
  <c r="DG506" i="1"/>
  <c r="DH506" i="1"/>
  <c r="DI506" i="1"/>
  <c r="DA507" i="1"/>
  <c r="DB507" i="1"/>
  <c r="DC507" i="1"/>
  <c r="DD507" i="1"/>
  <c r="DE507" i="1"/>
  <c r="DF507" i="1"/>
  <c r="DG507" i="1"/>
  <c r="DH507" i="1"/>
  <c r="DI507" i="1"/>
  <c r="DA508" i="1"/>
  <c r="DB508" i="1"/>
  <c r="DC508" i="1"/>
  <c r="DD508" i="1"/>
  <c r="DE508" i="1"/>
  <c r="DF508" i="1"/>
  <c r="DG508" i="1"/>
  <c r="DH508" i="1"/>
  <c r="DI508" i="1"/>
  <c r="DA509" i="1"/>
  <c r="DB509" i="1"/>
  <c r="DC509" i="1"/>
  <c r="DD509" i="1"/>
  <c r="DE509" i="1"/>
  <c r="DF509" i="1"/>
  <c r="DG509" i="1"/>
  <c r="DH509" i="1"/>
  <c r="DI509" i="1"/>
  <c r="DA510" i="1"/>
  <c r="DB510" i="1"/>
  <c r="DC510" i="1"/>
  <c r="DD510" i="1"/>
  <c r="DE510" i="1"/>
  <c r="DF510" i="1"/>
  <c r="DG510" i="1"/>
  <c r="DH510" i="1"/>
  <c r="DI510" i="1"/>
  <c r="DA511" i="1"/>
  <c r="DB511" i="1"/>
  <c r="DC511" i="1"/>
  <c r="DD511" i="1"/>
  <c r="DE511" i="1"/>
  <c r="DF511" i="1"/>
  <c r="DG511" i="1"/>
  <c r="DH511" i="1"/>
  <c r="DI511" i="1"/>
  <c r="DA512" i="1"/>
  <c r="DB512" i="1"/>
  <c r="DC512" i="1"/>
  <c r="DD512" i="1"/>
  <c r="DE512" i="1"/>
  <c r="DF512" i="1"/>
  <c r="DG512" i="1"/>
  <c r="DH512" i="1"/>
  <c r="DI512" i="1"/>
  <c r="DA513" i="1"/>
  <c r="DB513" i="1"/>
  <c r="DC513" i="1"/>
  <c r="DD513" i="1"/>
  <c r="DE513" i="1"/>
  <c r="DF513" i="1"/>
  <c r="DG513" i="1"/>
  <c r="DH513" i="1"/>
  <c r="DI513" i="1"/>
  <c r="DA514" i="1"/>
  <c r="DB514" i="1"/>
  <c r="DC514" i="1"/>
  <c r="DD514" i="1"/>
  <c r="DE514" i="1"/>
  <c r="DF514" i="1"/>
  <c r="DG514" i="1"/>
  <c r="DH514" i="1"/>
  <c r="DI514" i="1"/>
  <c r="DA515" i="1"/>
  <c r="DB515" i="1"/>
  <c r="DC515" i="1"/>
  <c r="DD515" i="1"/>
  <c r="DE515" i="1"/>
  <c r="DF515" i="1"/>
  <c r="DG515" i="1"/>
  <c r="DH515" i="1"/>
  <c r="DI515" i="1"/>
  <c r="DA516" i="1"/>
  <c r="DB516" i="1"/>
  <c r="DC516" i="1"/>
  <c r="DD516" i="1"/>
  <c r="DE516" i="1"/>
  <c r="DF516" i="1"/>
  <c r="DG516" i="1"/>
  <c r="DH516" i="1"/>
  <c r="DI516" i="1"/>
  <c r="DA517" i="1"/>
  <c r="DB517" i="1"/>
  <c r="DC517" i="1"/>
  <c r="DD517" i="1"/>
  <c r="DE517" i="1"/>
  <c r="DF517" i="1"/>
  <c r="DG517" i="1"/>
  <c r="DH517" i="1"/>
  <c r="DI517" i="1"/>
  <c r="DA518" i="1"/>
  <c r="DB518" i="1"/>
  <c r="DC518" i="1"/>
  <c r="DD518" i="1"/>
  <c r="DE518" i="1"/>
  <c r="DF518" i="1"/>
  <c r="DG518" i="1"/>
  <c r="DH518" i="1"/>
  <c r="DI518" i="1"/>
  <c r="DA519" i="1"/>
  <c r="DB519" i="1"/>
  <c r="DC519" i="1"/>
  <c r="DD519" i="1"/>
  <c r="DE519" i="1"/>
  <c r="DF519" i="1"/>
  <c r="DG519" i="1"/>
  <c r="DH519" i="1"/>
  <c r="DI519" i="1"/>
  <c r="DA520" i="1"/>
  <c r="DB520" i="1"/>
  <c r="DC520" i="1"/>
  <c r="DD520" i="1"/>
  <c r="DE520" i="1"/>
  <c r="DF520" i="1"/>
  <c r="DG520" i="1"/>
  <c r="DH520" i="1"/>
  <c r="DI520" i="1"/>
  <c r="DA521" i="1"/>
  <c r="DB521" i="1"/>
  <c r="DC521" i="1"/>
  <c r="DD521" i="1"/>
  <c r="DE521" i="1"/>
  <c r="DF521" i="1"/>
  <c r="DG521" i="1"/>
  <c r="DH521" i="1"/>
  <c r="DI521" i="1"/>
  <c r="DA522" i="1"/>
  <c r="DB522" i="1"/>
  <c r="DC522" i="1"/>
  <c r="DD522" i="1"/>
  <c r="DE522" i="1"/>
  <c r="DF522" i="1"/>
  <c r="DG522" i="1"/>
  <c r="DH522" i="1"/>
  <c r="DI522" i="1"/>
  <c r="DA523" i="1"/>
  <c r="DB523" i="1"/>
  <c r="DC523" i="1"/>
  <c r="DD523" i="1"/>
  <c r="DE523" i="1"/>
  <c r="DF523" i="1"/>
  <c r="DG523" i="1"/>
  <c r="DH523" i="1"/>
  <c r="DI523" i="1"/>
  <c r="DA524" i="1"/>
  <c r="DB524" i="1"/>
  <c r="DC524" i="1"/>
  <c r="DD524" i="1"/>
  <c r="DE524" i="1"/>
  <c r="DF524" i="1"/>
  <c r="DG524" i="1"/>
  <c r="DH524" i="1"/>
  <c r="DI524" i="1"/>
  <c r="DA525" i="1"/>
  <c r="DB525" i="1"/>
  <c r="DC525" i="1"/>
  <c r="DD525" i="1"/>
  <c r="DE525" i="1"/>
  <c r="DF525" i="1"/>
  <c r="DG525" i="1"/>
  <c r="DH525" i="1"/>
  <c r="DI525" i="1"/>
  <c r="DA526" i="1"/>
  <c r="DB526" i="1"/>
  <c r="DC526" i="1"/>
  <c r="DD526" i="1"/>
  <c r="DE526" i="1"/>
  <c r="DF526" i="1"/>
  <c r="DG526" i="1"/>
  <c r="DH526" i="1"/>
  <c r="DI526" i="1"/>
  <c r="DA527" i="1"/>
  <c r="DB527" i="1"/>
  <c r="DC527" i="1"/>
  <c r="DD527" i="1"/>
  <c r="DE527" i="1"/>
  <c r="DF527" i="1"/>
  <c r="DG527" i="1"/>
  <c r="DH527" i="1"/>
  <c r="DI527" i="1"/>
  <c r="DA528" i="1"/>
  <c r="DB528" i="1"/>
  <c r="DC528" i="1"/>
  <c r="DD528" i="1"/>
  <c r="DE528" i="1"/>
  <c r="DF528" i="1"/>
  <c r="DG528" i="1"/>
  <c r="DH528" i="1"/>
  <c r="DI528" i="1"/>
  <c r="DA529" i="1"/>
  <c r="DB529" i="1"/>
  <c r="DC529" i="1"/>
  <c r="DD529" i="1"/>
  <c r="DE529" i="1"/>
  <c r="DF529" i="1"/>
  <c r="DG529" i="1"/>
  <c r="DH529" i="1"/>
  <c r="DI529" i="1"/>
  <c r="DA530" i="1"/>
  <c r="DB530" i="1"/>
  <c r="DC530" i="1"/>
  <c r="DD530" i="1"/>
  <c r="DE530" i="1"/>
  <c r="DF530" i="1"/>
  <c r="DG530" i="1"/>
  <c r="DH530" i="1"/>
  <c r="DI530" i="1"/>
  <c r="DA531" i="1"/>
  <c r="DB531" i="1"/>
  <c r="DC531" i="1"/>
  <c r="DD531" i="1"/>
  <c r="DE531" i="1"/>
  <c r="DF531" i="1"/>
  <c r="DG531" i="1"/>
  <c r="DH531" i="1"/>
  <c r="DI531" i="1"/>
  <c r="DA532" i="1"/>
  <c r="DB532" i="1"/>
  <c r="DC532" i="1"/>
  <c r="DD532" i="1"/>
  <c r="DE532" i="1"/>
  <c r="DF532" i="1"/>
  <c r="DG532" i="1"/>
  <c r="DH532" i="1"/>
  <c r="DI532" i="1"/>
  <c r="DA533" i="1"/>
  <c r="DB533" i="1"/>
  <c r="DC533" i="1"/>
  <c r="DD533" i="1"/>
  <c r="DE533" i="1"/>
  <c r="DF533" i="1"/>
  <c r="DG533" i="1"/>
  <c r="DH533" i="1"/>
  <c r="DI533" i="1"/>
  <c r="DA534" i="1"/>
  <c r="DB534" i="1"/>
  <c r="DC534" i="1"/>
  <c r="DD534" i="1"/>
  <c r="DE534" i="1"/>
  <c r="DF534" i="1"/>
  <c r="DG534" i="1"/>
  <c r="DH534" i="1"/>
  <c r="DI534" i="1"/>
  <c r="DA535" i="1"/>
  <c r="DB535" i="1"/>
  <c r="DC535" i="1"/>
  <c r="DD535" i="1"/>
  <c r="DE535" i="1"/>
  <c r="DF535" i="1"/>
  <c r="DG535" i="1"/>
  <c r="DH535" i="1"/>
  <c r="DI535" i="1"/>
  <c r="DA536" i="1"/>
  <c r="DB536" i="1"/>
  <c r="DC536" i="1"/>
  <c r="DD536" i="1"/>
  <c r="DE536" i="1"/>
  <c r="DF536" i="1"/>
  <c r="DG536" i="1"/>
  <c r="DH536" i="1"/>
  <c r="DI536" i="1"/>
  <c r="DA537" i="1"/>
  <c r="DB537" i="1"/>
  <c r="DC537" i="1"/>
  <c r="DD537" i="1"/>
  <c r="DE537" i="1"/>
  <c r="DF537" i="1"/>
  <c r="DG537" i="1"/>
  <c r="DH537" i="1"/>
  <c r="DI537" i="1"/>
  <c r="DA538" i="1"/>
  <c r="DB538" i="1"/>
  <c r="DC538" i="1"/>
  <c r="DD538" i="1"/>
  <c r="DE538" i="1"/>
  <c r="DF538" i="1"/>
  <c r="DG538" i="1"/>
  <c r="DH538" i="1"/>
  <c r="DI538" i="1"/>
  <c r="DA539" i="1"/>
  <c r="DB539" i="1"/>
  <c r="DC539" i="1"/>
  <c r="DD539" i="1"/>
  <c r="DE539" i="1"/>
  <c r="DF539" i="1"/>
  <c r="DG539" i="1"/>
  <c r="DH539" i="1"/>
  <c r="DI539" i="1"/>
  <c r="DA540" i="1"/>
  <c r="DB540" i="1"/>
  <c r="DC540" i="1"/>
  <c r="DD540" i="1"/>
  <c r="DE540" i="1"/>
  <c r="DF540" i="1"/>
  <c r="DG540" i="1"/>
  <c r="DH540" i="1"/>
  <c r="DI540" i="1"/>
  <c r="DA541" i="1"/>
  <c r="DB541" i="1"/>
  <c r="DC541" i="1"/>
  <c r="DD541" i="1"/>
  <c r="DE541" i="1"/>
  <c r="DF541" i="1"/>
  <c r="DG541" i="1"/>
  <c r="DH541" i="1"/>
  <c r="DI541" i="1"/>
  <c r="DA542" i="1"/>
  <c r="DB542" i="1"/>
  <c r="DC542" i="1"/>
  <c r="DD542" i="1"/>
  <c r="DE542" i="1"/>
  <c r="DF542" i="1"/>
  <c r="DG542" i="1"/>
  <c r="DH542" i="1"/>
  <c r="DI542" i="1"/>
  <c r="DA543" i="1"/>
  <c r="DB543" i="1"/>
  <c r="DC543" i="1"/>
  <c r="DD543" i="1"/>
  <c r="DE543" i="1"/>
  <c r="DF543" i="1"/>
  <c r="DG543" i="1"/>
  <c r="DH543" i="1"/>
  <c r="DI543" i="1"/>
  <c r="DA544" i="1"/>
  <c r="DB544" i="1"/>
  <c r="DC544" i="1"/>
  <c r="DD544" i="1"/>
  <c r="DE544" i="1"/>
  <c r="DF544" i="1"/>
  <c r="DG544" i="1"/>
  <c r="DH544" i="1"/>
  <c r="DI544" i="1"/>
  <c r="DA545" i="1"/>
  <c r="DB545" i="1"/>
  <c r="DC545" i="1"/>
  <c r="DD545" i="1"/>
  <c r="DE545" i="1"/>
  <c r="DF545" i="1"/>
  <c r="DG545" i="1"/>
  <c r="DH545" i="1"/>
  <c r="DI545" i="1"/>
  <c r="DA546" i="1"/>
  <c r="DB546" i="1"/>
  <c r="DC546" i="1"/>
  <c r="DD546" i="1"/>
  <c r="DE546" i="1"/>
  <c r="DF546" i="1"/>
  <c r="DG546" i="1"/>
  <c r="DH546" i="1"/>
  <c r="DI546" i="1"/>
  <c r="DA547" i="1"/>
  <c r="DB547" i="1"/>
  <c r="DC547" i="1"/>
  <c r="DD547" i="1"/>
  <c r="DE547" i="1"/>
  <c r="DF547" i="1"/>
  <c r="DG547" i="1"/>
  <c r="DH547" i="1"/>
  <c r="DI547" i="1"/>
  <c r="DA548" i="1"/>
  <c r="DB548" i="1"/>
  <c r="DC548" i="1"/>
  <c r="DD548" i="1"/>
  <c r="DE548" i="1"/>
  <c r="DF548" i="1"/>
  <c r="DG548" i="1"/>
  <c r="DH548" i="1"/>
  <c r="DI548" i="1"/>
  <c r="DA549" i="1"/>
  <c r="DB549" i="1"/>
  <c r="DC549" i="1"/>
  <c r="DD549" i="1"/>
  <c r="DE549" i="1"/>
  <c r="DF549" i="1"/>
  <c r="DG549" i="1"/>
  <c r="DH549" i="1"/>
  <c r="DI549" i="1"/>
  <c r="DA550" i="1"/>
  <c r="DB550" i="1"/>
  <c r="DC550" i="1"/>
  <c r="DD550" i="1"/>
  <c r="DE550" i="1"/>
  <c r="DF550" i="1"/>
  <c r="DG550" i="1"/>
  <c r="DH550" i="1"/>
  <c r="DI550" i="1"/>
  <c r="DA551" i="1"/>
  <c r="DB551" i="1"/>
  <c r="DC551" i="1"/>
  <c r="DD551" i="1"/>
  <c r="DE551" i="1"/>
  <c r="DF551" i="1"/>
  <c r="DG551" i="1"/>
  <c r="DH551" i="1"/>
  <c r="DI551" i="1"/>
  <c r="DA552" i="1"/>
  <c r="DB552" i="1"/>
  <c r="DC552" i="1"/>
  <c r="DD552" i="1"/>
  <c r="DE552" i="1"/>
  <c r="DF552" i="1"/>
  <c r="DG552" i="1"/>
  <c r="DH552" i="1"/>
  <c r="DI552" i="1"/>
  <c r="DA553" i="1"/>
  <c r="DB553" i="1"/>
  <c r="DC553" i="1"/>
  <c r="DD553" i="1"/>
  <c r="DE553" i="1"/>
  <c r="DF553" i="1"/>
  <c r="DG553" i="1"/>
  <c r="DH553" i="1"/>
  <c r="DI553" i="1"/>
  <c r="DA554" i="1"/>
  <c r="DB554" i="1"/>
  <c r="DC554" i="1"/>
  <c r="DD554" i="1"/>
  <c r="DE554" i="1"/>
  <c r="DF554" i="1"/>
  <c r="DG554" i="1"/>
  <c r="DH554" i="1"/>
  <c r="DI554" i="1"/>
  <c r="DA555" i="1"/>
  <c r="DB555" i="1"/>
  <c r="DC555" i="1"/>
  <c r="DD555" i="1"/>
  <c r="DE555" i="1"/>
  <c r="DF555" i="1"/>
  <c r="DG555" i="1"/>
  <c r="DH555" i="1"/>
  <c r="DI555" i="1"/>
  <c r="DA556" i="1"/>
  <c r="DB556" i="1"/>
  <c r="DC556" i="1"/>
  <c r="DD556" i="1"/>
  <c r="DE556" i="1"/>
  <c r="DF556" i="1"/>
  <c r="DG556" i="1"/>
  <c r="DH556" i="1"/>
  <c r="DI556" i="1"/>
  <c r="DA557" i="1"/>
  <c r="DB557" i="1"/>
  <c r="DC557" i="1"/>
  <c r="DD557" i="1"/>
  <c r="DE557" i="1"/>
  <c r="DF557" i="1"/>
  <c r="DG557" i="1"/>
  <c r="DH557" i="1"/>
  <c r="DI557" i="1"/>
  <c r="DA558" i="1"/>
  <c r="DB558" i="1"/>
  <c r="DC558" i="1"/>
  <c r="DD558" i="1"/>
  <c r="DE558" i="1"/>
  <c r="DF558" i="1"/>
  <c r="DG558" i="1"/>
  <c r="DH558" i="1"/>
  <c r="DI558" i="1"/>
  <c r="DA559" i="1"/>
  <c r="DB559" i="1"/>
  <c r="DC559" i="1"/>
  <c r="DD559" i="1"/>
  <c r="DE559" i="1"/>
  <c r="DF559" i="1"/>
  <c r="DG559" i="1"/>
  <c r="DH559" i="1"/>
  <c r="DI559" i="1"/>
  <c r="DA560" i="1"/>
  <c r="DB560" i="1"/>
  <c r="DC560" i="1"/>
  <c r="DD560" i="1"/>
  <c r="DE560" i="1"/>
  <c r="DF560" i="1"/>
  <c r="DG560" i="1"/>
  <c r="DH560" i="1"/>
  <c r="DI560" i="1"/>
  <c r="DA561" i="1"/>
  <c r="DB561" i="1"/>
  <c r="DC561" i="1"/>
  <c r="DD561" i="1"/>
  <c r="DE561" i="1"/>
  <c r="DF561" i="1"/>
  <c r="DG561" i="1"/>
  <c r="DH561" i="1"/>
  <c r="DI561" i="1"/>
  <c r="DA562" i="1"/>
  <c r="DB562" i="1"/>
  <c r="DC562" i="1"/>
  <c r="DD562" i="1"/>
  <c r="DE562" i="1"/>
  <c r="DF562" i="1"/>
  <c r="DG562" i="1"/>
  <c r="DH562" i="1"/>
  <c r="DI562" i="1"/>
  <c r="DA563" i="1"/>
  <c r="DB563" i="1"/>
  <c r="DC563" i="1"/>
  <c r="DD563" i="1"/>
  <c r="DE563" i="1"/>
  <c r="DF563" i="1"/>
  <c r="DG563" i="1"/>
  <c r="DH563" i="1"/>
  <c r="DI563" i="1"/>
  <c r="DA564" i="1"/>
  <c r="DB564" i="1"/>
  <c r="DC564" i="1"/>
  <c r="DD564" i="1"/>
  <c r="DE564" i="1"/>
  <c r="DF564" i="1"/>
  <c r="DG564" i="1"/>
  <c r="DH564" i="1"/>
  <c r="DI564" i="1"/>
  <c r="DA565" i="1"/>
  <c r="DB565" i="1"/>
  <c r="DC565" i="1"/>
  <c r="DD565" i="1"/>
  <c r="DE565" i="1"/>
  <c r="DF565" i="1"/>
  <c r="DG565" i="1"/>
  <c r="DH565" i="1"/>
  <c r="DI565" i="1"/>
  <c r="DA566" i="1"/>
  <c r="DB566" i="1"/>
  <c r="DC566" i="1"/>
  <c r="DD566" i="1"/>
  <c r="DE566" i="1"/>
  <c r="DF566" i="1"/>
  <c r="DG566" i="1"/>
  <c r="DH566" i="1"/>
  <c r="DI566" i="1"/>
  <c r="DA567" i="1"/>
  <c r="DB567" i="1"/>
  <c r="DC567" i="1"/>
  <c r="DD567" i="1"/>
  <c r="DE567" i="1"/>
  <c r="DF567" i="1"/>
  <c r="DG567" i="1"/>
  <c r="DH567" i="1"/>
  <c r="DI567" i="1"/>
  <c r="DA568" i="1"/>
  <c r="DB568" i="1"/>
  <c r="DC568" i="1"/>
  <c r="DD568" i="1"/>
  <c r="DE568" i="1"/>
  <c r="DF568" i="1"/>
  <c r="DG568" i="1"/>
  <c r="DH568" i="1"/>
  <c r="DI568" i="1"/>
  <c r="DA569" i="1"/>
  <c r="DB569" i="1"/>
  <c r="DC569" i="1"/>
  <c r="DD569" i="1"/>
  <c r="DE569" i="1"/>
  <c r="DF569" i="1"/>
  <c r="DG569" i="1"/>
  <c r="DH569" i="1"/>
  <c r="DI569" i="1"/>
  <c r="DA570" i="1"/>
  <c r="DB570" i="1"/>
  <c r="DC570" i="1"/>
  <c r="DD570" i="1"/>
  <c r="DE570" i="1"/>
  <c r="DF570" i="1"/>
  <c r="DG570" i="1"/>
  <c r="DH570" i="1"/>
  <c r="DI570" i="1"/>
  <c r="DA571" i="1"/>
  <c r="DB571" i="1"/>
  <c r="DC571" i="1"/>
  <c r="DD571" i="1"/>
  <c r="DE571" i="1"/>
  <c r="DF571" i="1"/>
  <c r="DG571" i="1"/>
  <c r="DH571" i="1"/>
  <c r="DI571" i="1"/>
  <c r="DA572" i="1"/>
  <c r="DB572" i="1"/>
  <c r="DC572" i="1"/>
  <c r="DD572" i="1"/>
  <c r="DE572" i="1"/>
  <c r="DF572" i="1"/>
  <c r="DG572" i="1"/>
  <c r="DH572" i="1"/>
  <c r="DI572" i="1"/>
  <c r="DA573" i="1"/>
  <c r="DB573" i="1"/>
  <c r="DC573" i="1"/>
  <c r="DD573" i="1"/>
  <c r="DE573" i="1"/>
  <c r="DF573" i="1"/>
  <c r="DG573" i="1"/>
  <c r="DH573" i="1"/>
  <c r="DI573" i="1"/>
  <c r="DA574" i="1"/>
  <c r="DB574" i="1"/>
  <c r="DC574" i="1"/>
  <c r="DD574" i="1"/>
  <c r="DE574" i="1"/>
  <c r="DF574" i="1"/>
  <c r="DG574" i="1"/>
  <c r="DH574" i="1"/>
  <c r="DI574" i="1"/>
  <c r="DA575" i="1"/>
  <c r="DB575" i="1"/>
  <c r="DC575" i="1"/>
  <c r="DD575" i="1"/>
  <c r="DE575" i="1"/>
  <c r="DF575" i="1"/>
  <c r="DG575" i="1"/>
  <c r="DH575" i="1"/>
  <c r="DI575" i="1"/>
  <c r="DA576" i="1"/>
  <c r="DB576" i="1"/>
  <c r="DC576" i="1"/>
  <c r="DD576" i="1"/>
  <c r="DE576" i="1"/>
  <c r="DF576" i="1"/>
  <c r="DG576" i="1"/>
  <c r="DH576" i="1"/>
  <c r="DI576" i="1"/>
  <c r="DA577" i="1"/>
  <c r="DB577" i="1"/>
  <c r="DC577" i="1"/>
  <c r="DD577" i="1"/>
  <c r="DE577" i="1"/>
  <c r="DF577" i="1"/>
  <c r="DG577" i="1"/>
  <c r="DH577" i="1"/>
  <c r="DI577" i="1"/>
  <c r="DA578" i="1"/>
  <c r="DB578" i="1"/>
  <c r="DC578" i="1"/>
  <c r="DD578" i="1"/>
  <c r="DE578" i="1"/>
  <c r="DF578" i="1"/>
  <c r="DG578" i="1"/>
  <c r="DH578" i="1"/>
  <c r="DI578" i="1"/>
  <c r="DA579" i="1"/>
  <c r="DB579" i="1"/>
  <c r="DC579" i="1"/>
  <c r="DD579" i="1"/>
  <c r="DE579" i="1"/>
  <c r="DF579" i="1"/>
  <c r="DG579" i="1"/>
  <c r="DH579" i="1"/>
  <c r="DI579" i="1"/>
  <c r="DA580" i="1"/>
  <c r="DB580" i="1"/>
  <c r="DC580" i="1"/>
  <c r="DD580" i="1"/>
  <c r="DE580" i="1"/>
  <c r="DF580" i="1"/>
  <c r="DG580" i="1"/>
  <c r="DH580" i="1"/>
  <c r="DI580" i="1"/>
  <c r="DA581" i="1"/>
  <c r="DB581" i="1"/>
  <c r="DC581" i="1"/>
  <c r="DD581" i="1"/>
  <c r="DE581" i="1"/>
  <c r="DF581" i="1"/>
  <c r="DG581" i="1"/>
  <c r="DH581" i="1"/>
  <c r="DI581" i="1"/>
  <c r="DA582" i="1"/>
  <c r="DB582" i="1"/>
  <c r="DC582" i="1"/>
  <c r="DD582" i="1"/>
  <c r="DE582" i="1"/>
  <c r="DF582" i="1"/>
  <c r="DG582" i="1"/>
  <c r="DH582" i="1"/>
  <c r="DI582" i="1"/>
  <c r="DA583" i="1"/>
  <c r="DB583" i="1"/>
  <c r="DC583" i="1"/>
  <c r="DD583" i="1"/>
  <c r="DE583" i="1"/>
  <c r="DF583" i="1"/>
  <c r="DG583" i="1"/>
  <c r="DH583" i="1"/>
  <c r="DI583" i="1"/>
  <c r="DA584" i="1"/>
  <c r="DB584" i="1"/>
  <c r="DC584" i="1"/>
  <c r="DD584" i="1"/>
  <c r="DE584" i="1"/>
  <c r="DF584" i="1"/>
  <c r="DG584" i="1"/>
  <c r="DH584" i="1"/>
  <c r="DI584" i="1"/>
  <c r="DA585" i="1"/>
  <c r="DB585" i="1"/>
  <c r="DC585" i="1"/>
  <c r="DD585" i="1"/>
  <c r="DE585" i="1"/>
  <c r="DF585" i="1"/>
  <c r="DG585" i="1"/>
  <c r="DH585" i="1"/>
  <c r="DI585" i="1"/>
  <c r="DA586" i="1"/>
  <c r="DB586" i="1"/>
  <c r="DC586" i="1"/>
  <c r="DD586" i="1"/>
  <c r="DE586" i="1"/>
  <c r="DF586" i="1"/>
  <c r="DG586" i="1"/>
  <c r="DH586" i="1"/>
  <c r="DI586" i="1"/>
  <c r="DA587" i="1"/>
  <c r="DB587" i="1"/>
  <c r="DC587" i="1"/>
  <c r="DD587" i="1"/>
  <c r="DE587" i="1"/>
  <c r="DF587" i="1"/>
  <c r="DG587" i="1"/>
  <c r="DH587" i="1"/>
  <c r="DI587" i="1"/>
  <c r="DA588" i="1"/>
  <c r="DB588" i="1"/>
  <c r="DC588" i="1"/>
  <c r="DD588" i="1"/>
  <c r="DE588" i="1"/>
  <c r="DF588" i="1"/>
  <c r="DG588" i="1"/>
  <c r="DH588" i="1"/>
  <c r="DI588" i="1"/>
  <c r="DA589" i="1"/>
  <c r="DB589" i="1"/>
  <c r="DC589" i="1"/>
  <c r="DD589" i="1"/>
  <c r="DE589" i="1"/>
  <c r="DF589" i="1"/>
  <c r="DG589" i="1"/>
  <c r="DH589" i="1"/>
  <c r="DI589" i="1"/>
  <c r="DA590" i="1"/>
  <c r="DB590" i="1"/>
  <c r="DC590" i="1"/>
  <c r="DD590" i="1"/>
  <c r="DE590" i="1"/>
  <c r="DF590" i="1"/>
  <c r="DG590" i="1"/>
  <c r="DH590" i="1"/>
  <c r="DI590" i="1"/>
  <c r="DA591" i="1"/>
  <c r="DB591" i="1"/>
  <c r="DC591" i="1"/>
  <c r="DD591" i="1"/>
  <c r="DE591" i="1"/>
  <c r="DF591" i="1"/>
  <c r="DG591" i="1"/>
  <c r="DH591" i="1"/>
  <c r="DI591" i="1"/>
  <c r="DA592" i="1"/>
  <c r="DB592" i="1"/>
  <c r="DC592" i="1"/>
  <c r="DD592" i="1"/>
  <c r="DE592" i="1"/>
  <c r="DF592" i="1"/>
  <c r="DG592" i="1"/>
  <c r="DH592" i="1"/>
  <c r="DI592" i="1"/>
  <c r="DA593" i="1"/>
  <c r="DB593" i="1"/>
  <c r="DC593" i="1"/>
  <c r="DD593" i="1"/>
  <c r="DE593" i="1"/>
  <c r="DF593" i="1"/>
  <c r="DG593" i="1"/>
  <c r="DH593" i="1"/>
  <c r="DI593" i="1"/>
  <c r="DA594" i="1"/>
  <c r="DB594" i="1"/>
  <c r="DC594" i="1"/>
  <c r="DD594" i="1"/>
  <c r="DE594" i="1"/>
  <c r="DF594" i="1"/>
  <c r="DG594" i="1"/>
  <c r="DH594" i="1"/>
  <c r="DI594" i="1"/>
  <c r="DA595" i="1"/>
  <c r="DB595" i="1"/>
  <c r="DC595" i="1"/>
  <c r="DD595" i="1"/>
  <c r="DE595" i="1"/>
  <c r="DF595" i="1"/>
  <c r="DG595" i="1"/>
  <c r="DH595" i="1"/>
  <c r="DI595" i="1"/>
  <c r="DA596" i="1"/>
  <c r="DB596" i="1"/>
  <c r="DC596" i="1"/>
  <c r="DD596" i="1"/>
  <c r="DE596" i="1"/>
  <c r="DF596" i="1"/>
  <c r="DG596" i="1"/>
  <c r="DH596" i="1"/>
  <c r="DI596" i="1"/>
  <c r="DA597" i="1"/>
  <c r="DB597" i="1"/>
  <c r="DC597" i="1"/>
  <c r="DD597" i="1"/>
  <c r="DE597" i="1"/>
  <c r="DF597" i="1"/>
  <c r="DG597" i="1"/>
  <c r="DH597" i="1"/>
  <c r="DI597" i="1"/>
  <c r="DA598" i="1"/>
  <c r="DB598" i="1"/>
  <c r="DC598" i="1"/>
  <c r="DD598" i="1"/>
  <c r="DE598" i="1"/>
  <c r="DF598" i="1"/>
  <c r="DG598" i="1"/>
  <c r="DH598" i="1"/>
  <c r="DI598" i="1"/>
  <c r="DA599" i="1"/>
  <c r="DB599" i="1"/>
  <c r="DC599" i="1"/>
  <c r="DD599" i="1"/>
  <c r="DE599" i="1"/>
  <c r="DF599" i="1"/>
  <c r="DG599" i="1"/>
  <c r="DH599" i="1"/>
  <c r="DI599" i="1"/>
  <c r="DA600" i="1"/>
  <c r="DB600" i="1"/>
  <c r="DC600" i="1"/>
  <c r="DD600" i="1"/>
  <c r="DE600" i="1"/>
  <c r="DF600" i="1"/>
  <c r="DG600" i="1"/>
  <c r="DH600" i="1"/>
  <c r="DI600" i="1"/>
  <c r="DA601" i="1"/>
  <c r="DB601" i="1"/>
  <c r="DC601" i="1"/>
  <c r="DD601" i="1"/>
  <c r="DE601" i="1"/>
  <c r="DF601" i="1"/>
  <c r="DG601" i="1"/>
  <c r="DH601" i="1"/>
  <c r="DI601" i="1"/>
  <c r="DA602" i="1"/>
  <c r="DB602" i="1"/>
  <c r="DC602" i="1"/>
  <c r="DD602" i="1"/>
  <c r="DE602" i="1"/>
  <c r="DF602" i="1"/>
  <c r="DG602" i="1"/>
  <c r="DH602" i="1"/>
  <c r="DI602" i="1"/>
  <c r="DA603" i="1"/>
  <c r="DB603" i="1"/>
  <c r="DC603" i="1"/>
  <c r="DD603" i="1"/>
  <c r="DE603" i="1"/>
  <c r="DF603" i="1"/>
  <c r="DG603" i="1"/>
  <c r="DH603" i="1"/>
  <c r="DI603" i="1"/>
  <c r="DA604" i="1"/>
  <c r="DB604" i="1"/>
  <c r="DC604" i="1"/>
  <c r="DD604" i="1"/>
  <c r="DE604" i="1"/>
  <c r="DF604" i="1"/>
  <c r="DG604" i="1"/>
  <c r="DH604" i="1"/>
  <c r="DI604" i="1"/>
  <c r="DA605" i="1"/>
  <c r="DB605" i="1"/>
  <c r="DC605" i="1"/>
  <c r="DD605" i="1"/>
  <c r="DE605" i="1"/>
  <c r="DF605" i="1"/>
  <c r="DG605" i="1"/>
  <c r="DH605" i="1"/>
  <c r="DI605" i="1"/>
  <c r="DA606" i="1"/>
  <c r="DB606" i="1"/>
  <c r="DC606" i="1"/>
  <c r="DD606" i="1"/>
  <c r="DE606" i="1"/>
  <c r="DF606" i="1"/>
  <c r="DG606" i="1"/>
  <c r="DH606" i="1"/>
  <c r="DI606" i="1"/>
  <c r="DA607" i="1"/>
  <c r="DB607" i="1"/>
  <c r="DC607" i="1"/>
  <c r="DD607" i="1"/>
  <c r="DE607" i="1"/>
  <c r="DF607" i="1"/>
  <c r="DG607" i="1"/>
  <c r="DH607" i="1"/>
  <c r="DI607" i="1"/>
  <c r="DA608" i="1"/>
  <c r="DB608" i="1"/>
  <c r="DC608" i="1"/>
  <c r="DD608" i="1"/>
  <c r="DE608" i="1"/>
  <c r="DF608" i="1"/>
  <c r="DG608" i="1"/>
  <c r="DH608" i="1"/>
  <c r="DI608" i="1"/>
  <c r="DA609" i="1"/>
  <c r="DB609" i="1"/>
  <c r="DC609" i="1"/>
  <c r="DD609" i="1"/>
  <c r="DE609" i="1"/>
  <c r="DF609" i="1"/>
  <c r="DG609" i="1"/>
  <c r="DH609" i="1"/>
  <c r="DI609" i="1"/>
  <c r="DA610" i="1"/>
  <c r="DB610" i="1"/>
  <c r="DC610" i="1"/>
  <c r="DD610" i="1"/>
  <c r="DE610" i="1"/>
  <c r="DF610" i="1"/>
  <c r="DG610" i="1"/>
  <c r="DH610" i="1"/>
  <c r="DI610" i="1"/>
  <c r="DA611" i="1"/>
  <c r="DB611" i="1"/>
  <c r="DC611" i="1"/>
  <c r="DD611" i="1"/>
  <c r="DE611" i="1"/>
  <c r="DF611" i="1"/>
  <c r="DG611" i="1"/>
  <c r="DH611" i="1"/>
  <c r="DI611" i="1"/>
  <c r="DA612" i="1"/>
  <c r="DB612" i="1"/>
  <c r="DC612" i="1"/>
  <c r="DD612" i="1"/>
  <c r="DE612" i="1"/>
  <c r="DF612" i="1"/>
  <c r="DG612" i="1"/>
  <c r="DH612" i="1"/>
  <c r="DI612" i="1"/>
  <c r="DA613" i="1"/>
  <c r="DB613" i="1"/>
  <c r="DC613" i="1"/>
  <c r="DD613" i="1"/>
  <c r="DE613" i="1"/>
  <c r="DF613" i="1"/>
  <c r="DG613" i="1"/>
  <c r="DH613" i="1"/>
  <c r="DI613" i="1"/>
  <c r="DA614" i="1"/>
  <c r="DB614" i="1"/>
  <c r="DC614" i="1"/>
  <c r="DD614" i="1"/>
  <c r="DE614" i="1"/>
  <c r="DF614" i="1"/>
  <c r="DG614" i="1"/>
  <c r="DH614" i="1"/>
  <c r="DI614" i="1"/>
  <c r="DA615" i="1"/>
  <c r="DB615" i="1"/>
  <c r="DC615" i="1"/>
  <c r="DD615" i="1"/>
  <c r="DE615" i="1"/>
  <c r="DF615" i="1"/>
  <c r="DG615" i="1"/>
  <c r="DH615" i="1"/>
  <c r="DI615" i="1"/>
  <c r="DA616" i="1"/>
  <c r="DB616" i="1"/>
  <c r="DC616" i="1"/>
  <c r="DD616" i="1"/>
  <c r="DE616" i="1"/>
  <c r="DF616" i="1"/>
  <c r="DG616" i="1"/>
  <c r="DH616" i="1"/>
  <c r="DI616" i="1"/>
  <c r="DA617" i="1"/>
  <c r="DB617" i="1"/>
  <c r="DC617" i="1"/>
  <c r="DD617" i="1"/>
  <c r="DE617" i="1"/>
  <c r="DF617" i="1"/>
  <c r="DG617" i="1"/>
  <c r="DH617" i="1"/>
  <c r="DI617" i="1"/>
  <c r="DA618" i="1"/>
  <c r="DB618" i="1"/>
  <c r="DC618" i="1"/>
  <c r="DD618" i="1"/>
  <c r="DE618" i="1"/>
  <c r="DF618" i="1"/>
  <c r="DG618" i="1"/>
  <c r="DH618" i="1"/>
  <c r="DI618" i="1"/>
  <c r="DA619" i="1"/>
  <c r="DB619" i="1"/>
  <c r="DC619" i="1"/>
  <c r="DD619" i="1"/>
  <c r="DE619" i="1"/>
  <c r="DF619" i="1"/>
  <c r="DG619" i="1"/>
  <c r="DH619" i="1"/>
  <c r="DI619" i="1"/>
  <c r="DA620" i="1"/>
  <c r="DB620" i="1"/>
  <c r="DC620" i="1"/>
  <c r="DD620" i="1"/>
  <c r="DE620" i="1"/>
  <c r="DF620" i="1"/>
  <c r="DG620" i="1"/>
  <c r="DH620" i="1"/>
  <c r="DI620" i="1"/>
  <c r="DA621" i="1"/>
  <c r="DB621" i="1"/>
  <c r="DC621" i="1"/>
  <c r="DD621" i="1"/>
  <c r="DE621" i="1"/>
  <c r="DF621" i="1"/>
  <c r="DG621" i="1"/>
  <c r="DH621" i="1"/>
  <c r="DI621" i="1"/>
  <c r="DA622" i="1"/>
  <c r="DB622" i="1"/>
  <c r="DC622" i="1"/>
  <c r="DD622" i="1"/>
  <c r="DE622" i="1"/>
  <c r="DF622" i="1"/>
  <c r="DG622" i="1"/>
  <c r="DH622" i="1"/>
  <c r="DI622" i="1"/>
  <c r="DA623" i="1"/>
  <c r="DB623" i="1"/>
  <c r="DC623" i="1"/>
  <c r="DD623" i="1"/>
  <c r="DE623" i="1"/>
  <c r="DF623" i="1"/>
  <c r="DG623" i="1"/>
  <c r="DH623" i="1"/>
  <c r="DI623" i="1"/>
  <c r="DA624" i="1"/>
  <c r="DB624" i="1"/>
  <c r="DC624" i="1"/>
  <c r="DD624" i="1"/>
  <c r="DE624" i="1"/>
  <c r="DF624" i="1"/>
  <c r="DG624" i="1"/>
  <c r="DH624" i="1"/>
  <c r="DI624" i="1"/>
  <c r="DA625" i="1"/>
  <c r="DB625" i="1"/>
  <c r="DC625" i="1"/>
  <c r="DD625" i="1"/>
  <c r="DE625" i="1"/>
  <c r="DF625" i="1"/>
  <c r="DG625" i="1"/>
  <c r="DH625" i="1"/>
  <c r="DI625" i="1"/>
  <c r="DA626" i="1"/>
  <c r="DB626" i="1"/>
  <c r="DC626" i="1"/>
  <c r="DD626" i="1"/>
  <c r="DE626" i="1"/>
  <c r="DF626" i="1"/>
  <c r="DG626" i="1"/>
  <c r="DH626" i="1"/>
  <c r="DI626" i="1"/>
  <c r="DA627" i="1"/>
  <c r="DB627" i="1"/>
  <c r="DC627" i="1"/>
  <c r="DD627" i="1"/>
  <c r="DE627" i="1"/>
  <c r="DF627" i="1"/>
  <c r="DG627" i="1"/>
  <c r="DH627" i="1"/>
  <c r="DI627" i="1"/>
  <c r="DA628" i="1"/>
  <c r="DB628" i="1"/>
  <c r="DC628" i="1"/>
  <c r="DD628" i="1"/>
  <c r="DE628" i="1"/>
  <c r="DF628" i="1"/>
  <c r="DG628" i="1"/>
  <c r="DH628" i="1"/>
  <c r="DI628" i="1"/>
  <c r="DA629" i="1"/>
  <c r="DB629" i="1"/>
  <c r="DC629" i="1"/>
  <c r="DD629" i="1"/>
  <c r="DE629" i="1"/>
  <c r="DF629" i="1"/>
  <c r="DG629" i="1"/>
  <c r="DH629" i="1"/>
  <c r="DI629" i="1"/>
  <c r="DA630" i="1"/>
  <c r="DB630" i="1"/>
  <c r="DC630" i="1"/>
  <c r="DD630" i="1"/>
  <c r="DE630" i="1"/>
  <c r="DF630" i="1"/>
  <c r="DG630" i="1"/>
  <c r="DH630" i="1"/>
  <c r="DI630" i="1"/>
  <c r="DA631" i="1"/>
  <c r="DB631" i="1"/>
  <c r="DC631" i="1"/>
  <c r="DD631" i="1"/>
  <c r="DE631" i="1"/>
  <c r="DF631" i="1"/>
  <c r="DG631" i="1"/>
  <c r="DH631" i="1"/>
  <c r="DI631" i="1"/>
  <c r="DA632" i="1"/>
  <c r="DB632" i="1"/>
  <c r="DC632" i="1"/>
  <c r="DD632" i="1"/>
  <c r="DE632" i="1"/>
  <c r="DF632" i="1"/>
  <c r="DG632" i="1"/>
  <c r="DH632" i="1"/>
  <c r="DI632" i="1"/>
  <c r="DA633" i="1"/>
  <c r="DB633" i="1"/>
  <c r="DC633" i="1"/>
  <c r="DD633" i="1"/>
  <c r="DE633" i="1"/>
  <c r="DF633" i="1"/>
  <c r="DG633" i="1"/>
  <c r="DH633" i="1"/>
  <c r="DI633" i="1"/>
  <c r="DA634" i="1"/>
  <c r="DB634" i="1"/>
  <c r="DC634" i="1"/>
  <c r="DD634" i="1"/>
  <c r="DE634" i="1"/>
  <c r="DF634" i="1"/>
  <c r="DG634" i="1"/>
  <c r="DH634" i="1"/>
  <c r="DI634" i="1"/>
  <c r="DA635" i="1"/>
  <c r="DB635" i="1"/>
  <c r="DC635" i="1"/>
  <c r="DD635" i="1"/>
  <c r="DE635" i="1"/>
  <c r="DF635" i="1"/>
  <c r="DG635" i="1"/>
  <c r="DH635" i="1"/>
  <c r="DI635" i="1"/>
  <c r="DA636" i="1"/>
  <c r="DB636" i="1"/>
  <c r="DC636" i="1"/>
  <c r="DD636" i="1"/>
  <c r="DE636" i="1"/>
  <c r="DF636" i="1"/>
  <c r="DG636" i="1"/>
  <c r="DH636" i="1"/>
  <c r="DI636" i="1"/>
  <c r="DA637" i="1"/>
  <c r="DB637" i="1"/>
  <c r="DC637" i="1"/>
  <c r="DD637" i="1"/>
  <c r="DE637" i="1"/>
  <c r="DF637" i="1"/>
  <c r="DG637" i="1"/>
  <c r="DH637" i="1"/>
  <c r="DI637" i="1"/>
  <c r="DA638" i="1"/>
  <c r="DB638" i="1"/>
  <c r="DC638" i="1"/>
  <c r="DD638" i="1"/>
  <c r="DE638" i="1"/>
  <c r="DF638" i="1"/>
  <c r="DG638" i="1"/>
  <c r="DH638" i="1"/>
  <c r="DI638" i="1"/>
  <c r="DA639" i="1"/>
  <c r="DB639" i="1"/>
  <c r="DC639" i="1"/>
  <c r="DD639" i="1"/>
  <c r="DE639" i="1"/>
  <c r="DF639" i="1"/>
  <c r="DG639" i="1"/>
  <c r="DH639" i="1"/>
  <c r="DI639" i="1"/>
  <c r="DA640" i="1"/>
  <c r="DB640" i="1"/>
  <c r="DC640" i="1"/>
  <c r="DD640" i="1"/>
  <c r="DE640" i="1"/>
  <c r="DF640" i="1"/>
  <c r="DG640" i="1"/>
  <c r="DH640" i="1"/>
  <c r="DI640" i="1"/>
  <c r="DA641" i="1"/>
  <c r="DB641" i="1"/>
  <c r="DC641" i="1"/>
  <c r="DD641" i="1"/>
  <c r="DE641" i="1"/>
  <c r="DF641" i="1"/>
  <c r="DG641" i="1"/>
  <c r="DH641" i="1"/>
  <c r="DI641" i="1"/>
  <c r="DA642" i="1"/>
  <c r="DB642" i="1"/>
  <c r="DC642" i="1"/>
  <c r="DD642" i="1"/>
  <c r="DE642" i="1"/>
  <c r="DF642" i="1"/>
  <c r="DG642" i="1"/>
  <c r="DH642" i="1"/>
  <c r="DI642" i="1"/>
  <c r="DA643" i="1"/>
  <c r="DB643" i="1"/>
  <c r="DC643" i="1"/>
  <c r="DD643" i="1"/>
  <c r="DE643" i="1"/>
  <c r="DF643" i="1"/>
  <c r="DG643" i="1"/>
  <c r="DH643" i="1"/>
  <c r="DI643" i="1"/>
  <c r="DA644" i="1"/>
  <c r="DB644" i="1"/>
  <c r="DC644" i="1"/>
  <c r="DD644" i="1"/>
  <c r="DE644" i="1"/>
  <c r="DF644" i="1"/>
  <c r="DG644" i="1"/>
  <c r="DH644" i="1"/>
  <c r="DI644" i="1"/>
  <c r="DA645" i="1"/>
  <c r="DB645" i="1"/>
  <c r="DC645" i="1"/>
  <c r="DD645" i="1"/>
  <c r="DE645" i="1"/>
  <c r="DF645" i="1"/>
  <c r="DG645" i="1"/>
  <c r="DH645" i="1"/>
  <c r="DI645" i="1"/>
  <c r="DA646" i="1"/>
  <c r="DB646" i="1"/>
  <c r="DC646" i="1"/>
  <c r="DD646" i="1"/>
  <c r="DE646" i="1"/>
  <c r="DF646" i="1"/>
  <c r="DG646" i="1"/>
  <c r="DH646" i="1"/>
  <c r="DI646" i="1"/>
  <c r="DA647" i="1"/>
  <c r="DB647" i="1"/>
  <c r="DC647" i="1"/>
  <c r="DD647" i="1"/>
  <c r="DE647" i="1"/>
  <c r="DF647" i="1"/>
  <c r="DG647" i="1"/>
  <c r="DH647" i="1"/>
  <c r="DI647" i="1"/>
  <c r="DA648" i="1"/>
  <c r="DB648" i="1"/>
  <c r="DC648" i="1"/>
  <c r="DD648" i="1"/>
  <c r="DE648" i="1"/>
  <c r="DF648" i="1"/>
  <c r="DG648" i="1"/>
  <c r="DH648" i="1"/>
  <c r="DI648" i="1"/>
  <c r="DA649" i="1"/>
  <c r="DB649" i="1"/>
  <c r="DC649" i="1"/>
  <c r="DD649" i="1"/>
  <c r="DE649" i="1"/>
  <c r="DF649" i="1"/>
  <c r="DG649" i="1"/>
  <c r="DH649" i="1"/>
  <c r="DI649" i="1"/>
  <c r="DA650" i="1"/>
  <c r="DB650" i="1"/>
  <c r="DC650" i="1"/>
  <c r="DD650" i="1"/>
  <c r="DE650" i="1"/>
  <c r="DF650" i="1"/>
  <c r="DG650" i="1"/>
  <c r="DH650" i="1"/>
  <c r="DI650" i="1"/>
  <c r="DA651" i="1"/>
  <c r="DB651" i="1"/>
  <c r="DC651" i="1"/>
  <c r="DD651" i="1"/>
  <c r="DE651" i="1"/>
  <c r="DF651" i="1"/>
  <c r="DG651" i="1"/>
  <c r="DH651" i="1"/>
  <c r="DI651" i="1"/>
  <c r="DA652" i="1"/>
  <c r="DB652" i="1"/>
  <c r="DC652" i="1"/>
  <c r="DD652" i="1"/>
  <c r="DE652" i="1"/>
  <c r="DF652" i="1"/>
  <c r="DG652" i="1"/>
  <c r="DH652" i="1"/>
  <c r="DI652" i="1"/>
  <c r="DA653" i="1"/>
  <c r="DB653" i="1"/>
  <c r="DC653" i="1"/>
  <c r="DD653" i="1"/>
  <c r="DE653" i="1"/>
  <c r="DF653" i="1"/>
  <c r="DG653" i="1"/>
  <c r="DH653" i="1"/>
  <c r="DI653" i="1"/>
  <c r="DA654" i="1"/>
  <c r="DB654" i="1"/>
  <c r="DC654" i="1"/>
  <c r="DD654" i="1"/>
  <c r="DE654" i="1"/>
  <c r="DF654" i="1"/>
  <c r="DG654" i="1"/>
  <c r="DH654" i="1"/>
  <c r="DI654" i="1"/>
  <c r="DA655" i="1"/>
  <c r="DB655" i="1"/>
  <c r="DC655" i="1"/>
  <c r="DD655" i="1"/>
  <c r="DE655" i="1"/>
  <c r="DF655" i="1"/>
  <c r="DG655" i="1"/>
  <c r="DH655" i="1"/>
  <c r="DI655" i="1"/>
  <c r="DA656" i="1"/>
  <c r="DB656" i="1"/>
  <c r="DC656" i="1"/>
  <c r="DD656" i="1"/>
  <c r="DE656" i="1"/>
  <c r="DF656" i="1"/>
  <c r="DG656" i="1"/>
  <c r="DH656" i="1"/>
  <c r="DI656" i="1"/>
  <c r="DA657" i="1"/>
  <c r="DB657" i="1"/>
  <c r="DC657" i="1"/>
  <c r="DD657" i="1"/>
  <c r="DE657" i="1"/>
  <c r="DF657" i="1"/>
  <c r="DG657" i="1"/>
  <c r="DH657" i="1"/>
  <c r="DI657" i="1"/>
  <c r="DA658" i="1"/>
  <c r="DB658" i="1"/>
  <c r="DC658" i="1"/>
  <c r="DD658" i="1"/>
  <c r="DE658" i="1"/>
  <c r="DF658" i="1"/>
  <c r="DG658" i="1"/>
  <c r="DH658" i="1"/>
  <c r="DI658" i="1"/>
  <c r="DA659" i="1"/>
  <c r="DB659" i="1"/>
  <c r="DC659" i="1"/>
  <c r="DD659" i="1"/>
  <c r="DE659" i="1"/>
  <c r="DF659" i="1"/>
  <c r="DG659" i="1"/>
  <c r="DH659" i="1"/>
  <c r="DI659" i="1"/>
  <c r="DA660" i="1"/>
  <c r="DB660" i="1"/>
  <c r="DC660" i="1"/>
  <c r="DD660" i="1"/>
  <c r="DE660" i="1"/>
  <c r="DF660" i="1"/>
  <c r="DG660" i="1"/>
  <c r="DH660" i="1"/>
  <c r="DI660" i="1"/>
  <c r="DA661" i="1"/>
  <c r="DB661" i="1"/>
  <c r="DC661" i="1"/>
  <c r="DD661" i="1"/>
  <c r="DE661" i="1"/>
  <c r="DF661" i="1"/>
  <c r="DG661" i="1"/>
  <c r="DH661" i="1"/>
  <c r="DI661" i="1"/>
  <c r="DA662" i="1"/>
  <c r="DB662" i="1"/>
  <c r="DC662" i="1"/>
  <c r="DD662" i="1"/>
  <c r="DE662" i="1"/>
  <c r="DF662" i="1"/>
  <c r="DG662" i="1"/>
  <c r="DH662" i="1"/>
  <c r="DI662" i="1"/>
  <c r="DA663" i="1"/>
  <c r="DB663" i="1"/>
  <c r="DC663" i="1"/>
  <c r="DD663" i="1"/>
  <c r="DE663" i="1"/>
  <c r="DF663" i="1"/>
  <c r="DG663" i="1"/>
  <c r="DH663" i="1"/>
  <c r="DI663" i="1"/>
  <c r="DA664" i="1"/>
  <c r="DB664" i="1"/>
  <c r="DC664" i="1"/>
  <c r="DD664" i="1"/>
  <c r="DE664" i="1"/>
  <c r="DF664" i="1"/>
  <c r="DG664" i="1"/>
  <c r="DH664" i="1"/>
  <c r="DI664" i="1"/>
  <c r="DA665" i="1"/>
  <c r="DB665" i="1"/>
  <c r="DC665" i="1"/>
  <c r="DD665" i="1"/>
  <c r="DE665" i="1"/>
  <c r="DF665" i="1"/>
  <c r="DG665" i="1"/>
  <c r="DH665" i="1"/>
  <c r="DI665" i="1"/>
  <c r="DA666" i="1"/>
  <c r="DB666" i="1"/>
  <c r="DC666" i="1"/>
  <c r="DD666" i="1"/>
  <c r="DE666" i="1"/>
  <c r="DF666" i="1"/>
  <c r="DG666" i="1"/>
  <c r="DH666" i="1"/>
  <c r="DI666" i="1"/>
  <c r="DA667" i="1"/>
  <c r="DB667" i="1"/>
  <c r="DC667" i="1"/>
  <c r="DD667" i="1"/>
  <c r="DE667" i="1"/>
  <c r="DF667" i="1"/>
  <c r="DG667" i="1"/>
  <c r="DH667" i="1"/>
  <c r="DI667" i="1"/>
  <c r="DA668" i="1"/>
  <c r="DB668" i="1"/>
  <c r="DC668" i="1"/>
  <c r="DD668" i="1"/>
  <c r="DE668" i="1"/>
  <c r="DF668" i="1"/>
  <c r="DG668" i="1"/>
  <c r="DH668" i="1"/>
  <c r="DI668" i="1"/>
  <c r="DA669" i="1"/>
  <c r="DB669" i="1"/>
  <c r="DC669" i="1"/>
  <c r="DD669" i="1"/>
  <c r="DE669" i="1"/>
  <c r="DF669" i="1"/>
  <c r="DG669" i="1"/>
  <c r="DH669" i="1"/>
  <c r="DI669" i="1"/>
  <c r="DA670" i="1"/>
  <c r="DB670" i="1"/>
  <c r="DC670" i="1"/>
  <c r="DD670" i="1"/>
  <c r="DE670" i="1"/>
  <c r="DF670" i="1"/>
  <c r="DG670" i="1"/>
  <c r="DH670" i="1"/>
  <c r="DI670" i="1"/>
  <c r="DA671" i="1"/>
  <c r="DB671" i="1"/>
  <c r="DC671" i="1"/>
  <c r="DD671" i="1"/>
  <c r="DE671" i="1"/>
  <c r="DF671" i="1"/>
  <c r="DG671" i="1"/>
  <c r="DH671" i="1"/>
  <c r="DI671" i="1"/>
  <c r="DA672" i="1"/>
  <c r="DB672" i="1"/>
  <c r="DC672" i="1"/>
  <c r="DD672" i="1"/>
  <c r="DE672" i="1"/>
  <c r="DF672" i="1"/>
  <c r="DG672" i="1"/>
  <c r="DH672" i="1"/>
  <c r="DI672" i="1"/>
  <c r="DA673" i="1"/>
  <c r="DB673" i="1"/>
  <c r="DC673" i="1"/>
  <c r="DD673" i="1"/>
  <c r="DE673" i="1"/>
  <c r="DF673" i="1"/>
  <c r="DG673" i="1"/>
  <c r="DH673" i="1"/>
  <c r="DI673" i="1"/>
  <c r="DA674" i="1"/>
  <c r="DB674" i="1"/>
  <c r="DC674" i="1"/>
  <c r="DD674" i="1"/>
  <c r="DE674" i="1"/>
  <c r="DF674" i="1"/>
  <c r="DG674" i="1"/>
  <c r="DH674" i="1"/>
  <c r="DI674" i="1"/>
  <c r="DA675" i="1"/>
  <c r="DB675" i="1"/>
  <c r="DC675" i="1"/>
  <c r="DD675" i="1"/>
  <c r="DE675" i="1"/>
  <c r="DF675" i="1"/>
  <c r="DG675" i="1"/>
  <c r="DH675" i="1"/>
  <c r="DI675" i="1"/>
  <c r="DA676" i="1"/>
  <c r="DB676" i="1"/>
  <c r="DC676" i="1"/>
  <c r="DD676" i="1"/>
  <c r="DE676" i="1"/>
  <c r="DF676" i="1"/>
  <c r="DG676" i="1"/>
  <c r="DH676" i="1"/>
  <c r="DI676" i="1"/>
  <c r="DA677" i="1"/>
  <c r="DB677" i="1"/>
  <c r="DC677" i="1"/>
  <c r="DD677" i="1"/>
  <c r="DE677" i="1"/>
  <c r="DF677" i="1"/>
  <c r="DG677" i="1"/>
  <c r="DH677" i="1"/>
  <c r="DI677" i="1"/>
  <c r="DA678" i="1"/>
  <c r="DB678" i="1"/>
  <c r="DC678" i="1"/>
  <c r="DD678" i="1"/>
  <c r="DE678" i="1"/>
  <c r="DF678" i="1"/>
  <c r="DG678" i="1"/>
  <c r="DH678" i="1"/>
  <c r="DI678" i="1"/>
  <c r="DA679" i="1"/>
  <c r="DB679" i="1"/>
  <c r="DC679" i="1"/>
  <c r="DD679" i="1"/>
  <c r="DE679" i="1"/>
  <c r="DF679" i="1"/>
  <c r="DG679" i="1"/>
  <c r="DH679" i="1"/>
  <c r="DI679" i="1"/>
  <c r="DA680" i="1"/>
  <c r="DB680" i="1"/>
  <c r="DC680" i="1"/>
  <c r="DD680" i="1"/>
  <c r="DE680" i="1"/>
  <c r="DF680" i="1"/>
  <c r="DG680" i="1"/>
  <c r="DH680" i="1"/>
  <c r="DI680" i="1"/>
  <c r="DA681" i="1"/>
  <c r="DB681" i="1"/>
  <c r="DC681" i="1"/>
  <c r="DD681" i="1"/>
  <c r="DE681" i="1"/>
  <c r="DF681" i="1"/>
  <c r="DG681" i="1"/>
  <c r="DH681" i="1"/>
  <c r="DI681" i="1"/>
  <c r="DA682" i="1"/>
  <c r="DB682" i="1"/>
  <c r="DC682" i="1"/>
  <c r="DD682" i="1"/>
  <c r="DE682" i="1"/>
  <c r="DF682" i="1"/>
  <c r="DG682" i="1"/>
  <c r="DH682" i="1"/>
  <c r="DI682" i="1"/>
  <c r="DA683" i="1"/>
  <c r="DB683" i="1"/>
  <c r="DC683" i="1"/>
  <c r="DD683" i="1"/>
  <c r="DE683" i="1"/>
  <c r="DF683" i="1"/>
  <c r="DG683" i="1"/>
  <c r="DH683" i="1"/>
  <c r="DI683" i="1"/>
  <c r="DA684" i="1"/>
  <c r="DB684" i="1"/>
  <c r="DC684" i="1"/>
  <c r="DD684" i="1"/>
  <c r="DE684" i="1"/>
  <c r="DF684" i="1"/>
  <c r="DG684" i="1"/>
  <c r="DH684" i="1"/>
  <c r="DI684" i="1"/>
  <c r="DA685" i="1"/>
  <c r="DB685" i="1"/>
  <c r="DC685" i="1"/>
  <c r="DD685" i="1"/>
  <c r="DE685" i="1"/>
  <c r="DF685" i="1"/>
  <c r="DG685" i="1"/>
  <c r="DH685" i="1"/>
  <c r="DI685" i="1"/>
  <c r="DA686" i="1"/>
  <c r="DB686" i="1"/>
  <c r="DC686" i="1"/>
  <c r="DD686" i="1"/>
  <c r="DE686" i="1"/>
  <c r="DF686" i="1"/>
  <c r="DG686" i="1"/>
  <c r="DH686" i="1"/>
  <c r="DI686" i="1"/>
  <c r="DA687" i="1"/>
  <c r="DB687" i="1"/>
  <c r="DC687" i="1"/>
  <c r="DD687" i="1"/>
  <c r="DE687" i="1"/>
  <c r="DF687" i="1"/>
  <c r="DG687" i="1"/>
  <c r="DH687" i="1"/>
  <c r="DI687" i="1"/>
  <c r="DA688" i="1"/>
  <c r="DB688" i="1"/>
  <c r="DC688" i="1"/>
  <c r="DD688" i="1"/>
  <c r="DE688" i="1"/>
  <c r="DF688" i="1"/>
  <c r="DG688" i="1"/>
  <c r="DH688" i="1"/>
  <c r="DI688" i="1"/>
  <c r="DA689" i="1"/>
  <c r="DB689" i="1"/>
  <c r="DC689" i="1"/>
  <c r="DD689" i="1"/>
  <c r="DE689" i="1"/>
  <c r="DF689" i="1"/>
  <c r="DG689" i="1"/>
  <c r="DH689" i="1"/>
  <c r="DI689" i="1"/>
  <c r="DA690" i="1"/>
  <c r="DB690" i="1"/>
  <c r="DC690" i="1"/>
  <c r="DD690" i="1"/>
  <c r="DE690" i="1"/>
  <c r="DF690" i="1"/>
  <c r="DG690" i="1"/>
  <c r="DH690" i="1"/>
  <c r="DI690" i="1"/>
  <c r="DA691" i="1"/>
  <c r="DB691" i="1"/>
  <c r="DC691" i="1"/>
  <c r="DD691" i="1"/>
  <c r="DE691" i="1"/>
  <c r="DF691" i="1"/>
  <c r="DG691" i="1"/>
  <c r="DH691" i="1"/>
  <c r="DI691" i="1"/>
  <c r="DA692" i="1"/>
  <c r="DB692" i="1"/>
  <c r="DC692" i="1"/>
  <c r="DD692" i="1"/>
  <c r="DE692" i="1"/>
  <c r="DF692" i="1"/>
  <c r="DG692" i="1"/>
  <c r="DH692" i="1"/>
  <c r="DI692" i="1"/>
  <c r="DA693" i="1"/>
  <c r="DB693" i="1"/>
  <c r="DC693" i="1"/>
  <c r="DD693" i="1"/>
  <c r="DE693" i="1"/>
  <c r="DF693" i="1"/>
  <c r="DG693" i="1"/>
  <c r="DH693" i="1"/>
  <c r="DI693" i="1"/>
  <c r="DA694" i="1"/>
  <c r="DB694" i="1"/>
  <c r="DC694" i="1"/>
  <c r="DD694" i="1"/>
  <c r="DE694" i="1"/>
  <c r="DF694" i="1"/>
  <c r="DG694" i="1"/>
  <c r="DH694" i="1"/>
  <c r="DI694" i="1"/>
  <c r="DA695" i="1"/>
  <c r="DB695" i="1"/>
  <c r="DC695" i="1"/>
  <c r="DD695" i="1"/>
  <c r="DE695" i="1"/>
  <c r="DF695" i="1"/>
  <c r="DG695" i="1"/>
  <c r="DH695" i="1"/>
  <c r="DI695" i="1"/>
  <c r="DA696" i="1"/>
  <c r="DB696" i="1"/>
  <c r="DC696" i="1"/>
  <c r="DD696" i="1"/>
  <c r="DE696" i="1"/>
  <c r="DF696" i="1"/>
  <c r="DG696" i="1"/>
  <c r="DH696" i="1"/>
  <c r="DI696" i="1"/>
  <c r="DA697" i="1"/>
  <c r="DB697" i="1"/>
  <c r="DC697" i="1"/>
  <c r="DD697" i="1"/>
  <c r="DE697" i="1"/>
  <c r="DF697" i="1"/>
  <c r="DG697" i="1"/>
  <c r="DH697" i="1"/>
  <c r="DI697" i="1"/>
  <c r="DA698" i="1"/>
  <c r="DB698" i="1"/>
  <c r="DC698" i="1"/>
  <c r="DD698" i="1"/>
  <c r="DE698" i="1"/>
  <c r="DF698" i="1"/>
  <c r="DG698" i="1"/>
  <c r="DH698" i="1"/>
  <c r="DI698" i="1"/>
  <c r="DA699" i="1"/>
  <c r="DB699" i="1"/>
  <c r="DC699" i="1"/>
  <c r="DD699" i="1"/>
  <c r="DE699" i="1"/>
  <c r="DF699" i="1"/>
  <c r="DG699" i="1"/>
  <c r="DH699" i="1"/>
  <c r="DI699" i="1"/>
  <c r="DA700" i="1"/>
  <c r="DB700" i="1"/>
  <c r="DC700" i="1"/>
  <c r="DD700" i="1"/>
  <c r="DE700" i="1"/>
  <c r="DF700" i="1"/>
  <c r="DG700" i="1"/>
  <c r="DH700" i="1"/>
  <c r="DI700" i="1"/>
  <c r="DA701" i="1"/>
  <c r="DB701" i="1"/>
  <c r="DC701" i="1"/>
  <c r="DD701" i="1"/>
  <c r="DE701" i="1"/>
  <c r="DF701" i="1"/>
  <c r="DG701" i="1"/>
  <c r="DH701" i="1"/>
  <c r="DI701" i="1"/>
  <c r="DA702" i="1"/>
  <c r="DB702" i="1"/>
  <c r="DC702" i="1"/>
  <c r="DD702" i="1"/>
  <c r="DE702" i="1"/>
  <c r="DF702" i="1"/>
  <c r="DG702" i="1"/>
  <c r="DH702" i="1"/>
  <c r="DI702" i="1"/>
  <c r="DA703" i="1"/>
  <c r="DB703" i="1"/>
  <c r="DC703" i="1"/>
  <c r="DD703" i="1"/>
  <c r="DE703" i="1"/>
  <c r="DF703" i="1"/>
  <c r="DG703" i="1"/>
  <c r="DH703" i="1"/>
  <c r="DI703" i="1"/>
  <c r="DA704" i="1"/>
  <c r="DB704" i="1"/>
  <c r="DC704" i="1"/>
  <c r="DD704" i="1"/>
  <c r="DE704" i="1"/>
  <c r="DF704" i="1"/>
  <c r="DG704" i="1"/>
  <c r="DH704" i="1"/>
  <c r="DI704" i="1"/>
  <c r="DA705" i="1"/>
  <c r="DB705" i="1"/>
  <c r="DC705" i="1"/>
  <c r="DD705" i="1"/>
  <c r="DE705" i="1"/>
  <c r="DF705" i="1"/>
  <c r="DG705" i="1"/>
  <c r="DH705" i="1"/>
  <c r="DI705" i="1"/>
  <c r="DA706" i="1"/>
  <c r="DB706" i="1"/>
  <c r="DC706" i="1"/>
  <c r="DD706" i="1"/>
  <c r="DE706" i="1"/>
  <c r="DF706" i="1"/>
  <c r="DG706" i="1"/>
  <c r="DH706" i="1"/>
  <c r="DI706" i="1"/>
  <c r="DA707" i="1"/>
  <c r="DB707" i="1"/>
  <c r="DC707" i="1"/>
  <c r="DD707" i="1"/>
  <c r="DE707" i="1"/>
  <c r="DF707" i="1"/>
  <c r="DG707" i="1"/>
  <c r="DH707" i="1"/>
  <c r="DI707" i="1"/>
  <c r="DA708" i="1"/>
  <c r="DB708" i="1"/>
  <c r="DC708" i="1"/>
  <c r="DD708" i="1"/>
  <c r="DE708" i="1"/>
  <c r="DF708" i="1"/>
  <c r="DG708" i="1"/>
  <c r="DH708" i="1"/>
  <c r="DI708" i="1"/>
  <c r="DA709" i="1"/>
  <c r="DB709" i="1"/>
  <c r="DC709" i="1"/>
  <c r="DD709" i="1"/>
  <c r="DE709" i="1"/>
  <c r="DF709" i="1"/>
  <c r="DG709" i="1"/>
  <c r="DH709" i="1"/>
  <c r="DI709" i="1"/>
  <c r="DA710" i="1"/>
  <c r="DB710" i="1"/>
  <c r="DC710" i="1"/>
  <c r="DD710" i="1"/>
  <c r="DE710" i="1"/>
  <c r="DF710" i="1"/>
  <c r="DG710" i="1"/>
  <c r="DH710" i="1"/>
  <c r="DI710" i="1"/>
  <c r="DA711" i="1"/>
  <c r="DB711" i="1"/>
  <c r="DC711" i="1"/>
  <c r="DD711" i="1"/>
  <c r="DE711" i="1"/>
  <c r="DF711" i="1"/>
  <c r="DG711" i="1"/>
  <c r="DH711" i="1"/>
  <c r="DI711" i="1"/>
  <c r="DA712" i="1"/>
  <c r="DB712" i="1"/>
  <c r="DC712" i="1"/>
  <c r="DD712" i="1"/>
  <c r="DE712" i="1"/>
  <c r="DF712" i="1"/>
  <c r="DG712" i="1"/>
  <c r="DH712" i="1"/>
  <c r="DI712" i="1"/>
  <c r="DA713" i="1"/>
  <c r="DB713" i="1"/>
  <c r="DC713" i="1"/>
  <c r="DD713" i="1"/>
  <c r="DE713" i="1"/>
  <c r="DF713" i="1"/>
  <c r="DG713" i="1"/>
  <c r="DH713" i="1"/>
  <c r="DI713" i="1"/>
  <c r="DA714" i="1"/>
  <c r="DB714" i="1"/>
  <c r="DC714" i="1"/>
  <c r="DD714" i="1"/>
  <c r="DE714" i="1"/>
  <c r="DF714" i="1"/>
  <c r="DG714" i="1"/>
  <c r="DH714" i="1"/>
  <c r="DI714" i="1"/>
  <c r="DA715" i="1"/>
  <c r="DB715" i="1"/>
  <c r="DC715" i="1"/>
  <c r="DD715" i="1"/>
  <c r="DE715" i="1"/>
  <c r="DF715" i="1"/>
  <c r="DG715" i="1"/>
  <c r="DH715" i="1"/>
  <c r="DI715" i="1"/>
  <c r="DA716" i="1"/>
  <c r="DB716" i="1"/>
  <c r="DC716" i="1"/>
  <c r="DD716" i="1"/>
  <c r="DE716" i="1"/>
  <c r="DF716" i="1"/>
  <c r="DG716" i="1"/>
  <c r="DH716" i="1"/>
  <c r="DI716" i="1"/>
  <c r="DA717" i="1"/>
  <c r="DB717" i="1"/>
  <c r="DC717" i="1"/>
  <c r="DD717" i="1"/>
  <c r="DE717" i="1"/>
  <c r="DF717" i="1"/>
  <c r="DG717" i="1"/>
  <c r="DH717" i="1"/>
  <c r="DI717" i="1"/>
  <c r="DA718" i="1"/>
  <c r="DB718" i="1"/>
  <c r="DC718" i="1"/>
  <c r="DD718" i="1"/>
  <c r="DE718" i="1"/>
  <c r="DF718" i="1"/>
  <c r="DG718" i="1"/>
  <c r="DH718" i="1"/>
  <c r="DI718" i="1"/>
  <c r="DA719" i="1"/>
  <c r="DB719" i="1"/>
  <c r="DC719" i="1"/>
  <c r="DD719" i="1"/>
  <c r="DE719" i="1"/>
  <c r="DF719" i="1"/>
  <c r="DG719" i="1"/>
  <c r="DH719" i="1"/>
  <c r="DI719" i="1"/>
  <c r="DA720" i="1"/>
  <c r="DB720" i="1"/>
  <c r="DC720" i="1"/>
  <c r="DD720" i="1"/>
  <c r="DE720" i="1"/>
  <c r="DF720" i="1"/>
  <c r="DG720" i="1"/>
  <c r="DH720" i="1"/>
  <c r="DI720" i="1"/>
  <c r="DA721" i="1"/>
  <c r="DB721" i="1"/>
  <c r="DC721" i="1"/>
  <c r="DD721" i="1"/>
  <c r="DE721" i="1"/>
  <c r="DF721" i="1"/>
  <c r="DG721" i="1"/>
  <c r="DH721" i="1"/>
  <c r="DI721" i="1"/>
  <c r="DA722" i="1"/>
  <c r="DB722" i="1"/>
  <c r="DC722" i="1"/>
  <c r="DD722" i="1"/>
  <c r="DE722" i="1"/>
  <c r="DF722" i="1"/>
  <c r="DG722" i="1"/>
  <c r="DH722" i="1"/>
  <c r="DI722" i="1"/>
  <c r="DA723" i="1"/>
  <c r="DB723" i="1"/>
  <c r="DC723" i="1"/>
  <c r="DD723" i="1"/>
  <c r="DE723" i="1"/>
  <c r="DF723" i="1"/>
  <c r="DG723" i="1"/>
  <c r="DH723" i="1"/>
  <c r="DI723" i="1"/>
  <c r="DA724" i="1"/>
  <c r="DB724" i="1"/>
  <c r="DC724" i="1"/>
  <c r="DD724" i="1"/>
  <c r="DE724" i="1"/>
  <c r="DF724" i="1"/>
  <c r="DG724" i="1"/>
  <c r="DH724" i="1"/>
  <c r="DI724" i="1"/>
  <c r="DA725" i="1"/>
  <c r="DB725" i="1"/>
  <c r="DC725" i="1"/>
  <c r="DD725" i="1"/>
  <c r="DE725" i="1"/>
  <c r="DF725" i="1"/>
  <c r="DG725" i="1"/>
  <c r="DH725" i="1"/>
  <c r="DI725" i="1"/>
  <c r="DA726" i="1"/>
  <c r="DB726" i="1"/>
  <c r="DC726" i="1"/>
  <c r="DD726" i="1"/>
  <c r="DE726" i="1"/>
  <c r="DF726" i="1"/>
  <c r="DG726" i="1"/>
  <c r="DH726" i="1"/>
  <c r="DI726" i="1"/>
  <c r="DA727" i="1"/>
  <c r="DB727" i="1"/>
  <c r="DC727" i="1"/>
  <c r="DD727" i="1"/>
  <c r="DE727" i="1"/>
  <c r="DF727" i="1"/>
  <c r="DG727" i="1"/>
  <c r="DH727" i="1"/>
  <c r="DI727" i="1"/>
  <c r="DA728" i="1"/>
  <c r="DB728" i="1"/>
  <c r="DC728" i="1"/>
  <c r="DD728" i="1"/>
  <c r="DE728" i="1"/>
  <c r="DF728" i="1"/>
  <c r="DG728" i="1"/>
  <c r="DH728" i="1"/>
  <c r="DI728" i="1"/>
  <c r="DA729" i="1"/>
  <c r="DB729" i="1"/>
  <c r="DC729" i="1"/>
  <c r="DD729" i="1"/>
  <c r="DE729" i="1"/>
  <c r="DF729" i="1"/>
  <c r="DG729" i="1"/>
  <c r="DH729" i="1"/>
  <c r="DI729" i="1"/>
  <c r="DA730" i="1"/>
  <c r="DB730" i="1"/>
  <c r="DC730" i="1"/>
  <c r="DD730" i="1"/>
  <c r="DE730" i="1"/>
  <c r="DF730" i="1"/>
  <c r="DG730" i="1"/>
  <c r="DH730" i="1"/>
  <c r="DI730" i="1"/>
  <c r="DA731" i="1"/>
  <c r="DB731" i="1"/>
  <c r="DC731" i="1"/>
  <c r="DD731" i="1"/>
  <c r="DE731" i="1"/>
  <c r="DF731" i="1"/>
  <c r="DG731" i="1"/>
  <c r="DH731" i="1"/>
  <c r="DI731" i="1"/>
  <c r="DA732" i="1"/>
  <c r="DB732" i="1"/>
  <c r="DC732" i="1"/>
  <c r="DD732" i="1"/>
  <c r="DE732" i="1"/>
  <c r="DF732" i="1"/>
  <c r="DG732" i="1"/>
  <c r="DH732" i="1"/>
  <c r="DI732" i="1"/>
  <c r="DA733" i="1"/>
  <c r="DB733" i="1"/>
  <c r="DC733" i="1"/>
  <c r="DD733" i="1"/>
  <c r="DE733" i="1"/>
  <c r="DF733" i="1"/>
  <c r="DG733" i="1"/>
  <c r="DH733" i="1"/>
  <c r="DI733" i="1"/>
  <c r="DA734" i="1"/>
  <c r="DB734" i="1"/>
  <c r="DC734" i="1"/>
  <c r="DD734" i="1"/>
  <c r="DE734" i="1"/>
  <c r="DF734" i="1"/>
  <c r="DG734" i="1"/>
  <c r="DH734" i="1"/>
  <c r="DI734" i="1"/>
  <c r="DA735" i="1"/>
  <c r="DB735" i="1"/>
  <c r="DC735" i="1"/>
  <c r="DD735" i="1"/>
  <c r="DE735" i="1"/>
  <c r="DF735" i="1"/>
  <c r="DG735" i="1"/>
  <c r="DH735" i="1"/>
  <c r="DI735" i="1"/>
  <c r="DA736" i="1"/>
  <c r="DB736" i="1"/>
  <c r="DC736" i="1"/>
  <c r="DD736" i="1"/>
  <c r="DE736" i="1"/>
  <c r="DF736" i="1"/>
  <c r="DG736" i="1"/>
  <c r="DH736" i="1"/>
  <c r="DI736" i="1"/>
  <c r="DA737" i="1"/>
  <c r="DB737" i="1"/>
  <c r="DC737" i="1"/>
  <c r="DD737" i="1"/>
  <c r="DE737" i="1"/>
  <c r="DF737" i="1"/>
  <c r="DG737" i="1"/>
  <c r="DH737" i="1"/>
  <c r="DI737" i="1"/>
  <c r="DA738" i="1"/>
  <c r="DB738" i="1"/>
  <c r="DC738" i="1"/>
  <c r="DD738" i="1"/>
  <c r="DE738" i="1"/>
  <c r="DF738" i="1"/>
  <c r="DG738" i="1"/>
  <c r="DH738" i="1"/>
  <c r="DI738" i="1"/>
  <c r="DA739" i="1"/>
  <c r="DB739" i="1"/>
  <c r="DC739" i="1"/>
  <c r="DD739" i="1"/>
  <c r="DE739" i="1"/>
  <c r="DF739" i="1"/>
  <c r="DG739" i="1"/>
  <c r="DH739" i="1"/>
  <c r="DI739" i="1"/>
  <c r="DA740" i="1"/>
  <c r="DB740" i="1"/>
  <c r="DC740" i="1"/>
  <c r="DD740" i="1"/>
  <c r="DE740" i="1"/>
  <c r="DF740" i="1"/>
  <c r="DG740" i="1"/>
  <c r="DH740" i="1"/>
  <c r="DI740" i="1"/>
  <c r="DA741" i="1"/>
  <c r="DB741" i="1"/>
  <c r="DC741" i="1"/>
  <c r="DD741" i="1"/>
  <c r="DE741" i="1"/>
  <c r="DF741" i="1"/>
  <c r="DG741" i="1"/>
  <c r="DH741" i="1"/>
  <c r="DI741" i="1"/>
  <c r="DA742" i="1"/>
  <c r="DB742" i="1"/>
  <c r="DC742" i="1"/>
  <c r="DD742" i="1"/>
  <c r="DE742" i="1"/>
  <c r="DF742" i="1"/>
  <c r="DG742" i="1"/>
  <c r="DH742" i="1"/>
  <c r="DI742" i="1"/>
  <c r="DA743" i="1"/>
  <c r="DB743" i="1"/>
  <c r="DC743" i="1"/>
  <c r="DD743" i="1"/>
  <c r="DE743" i="1"/>
  <c r="DF743" i="1"/>
  <c r="DG743" i="1"/>
  <c r="DH743" i="1"/>
  <c r="DI743" i="1"/>
  <c r="DA744" i="1"/>
  <c r="DB744" i="1"/>
  <c r="DC744" i="1"/>
  <c r="DD744" i="1"/>
  <c r="DE744" i="1"/>
  <c r="DF744" i="1"/>
  <c r="DG744" i="1"/>
  <c r="DH744" i="1"/>
  <c r="DI744" i="1"/>
  <c r="DA745" i="1"/>
  <c r="DB745" i="1"/>
  <c r="DC745" i="1"/>
  <c r="DD745" i="1"/>
  <c r="DE745" i="1"/>
  <c r="DF745" i="1"/>
  <c r="DG745" i="1"/>
  <c r="DH745" i="1"/>
  <c r="DI745" i="1"/>
  <c r="DA746" i="1"/>
  <c r="DB746" i="1"/>
  <c r="DC746" i="1"/>
  <c r="DD746" i="1"/>
  <c r="DE746" i="1"/>
  <c r="DF746" i="1"/>
  <c r="DG746" i="1"/>
  <c r="DH746" i="1"/>
  <c r="DI746" i="1"/>
  <c r="DA747" i="1"/>
  <c r="DB747" i="1"/>
  <c r="DC747" i="1"/>
  <c r="DD747" i="1"/>
  <c r="DE747" i="1"/>
  <c r="DF747" i="1"/>
  <c r="DG747" i="1"/>
  <c r="DH747" i="1"/>
  <c r="DI747" i="1"/>
  <c r="DA748" i="1"/>
  <c r="DB748" i="1"/>
  <c r="DC748" i="1"/>
  <c r="DD748" i="1"/>
  <c r="DE748" i="1"/>
  <c r="DF748" i="1"/>
  <c r="DG748" i="1"/>
  <c r="DH748" i="1"/>
  <c r="DI748" i="1"/>
  <c r="DA749" i="1"/>
  <c r="DB749" i="1"/>
  <c r="DC749" i="1"/>
  <c r="DD749" i="1"/>
  <c r="DE749" i="1"/>
  <c r="DF749" i="1"/>
  <c r="DG749" i="1"/>
  <c r="DH749" i="1"/>
  <c r="DI749" i="1"/>
  <c r="DA750" i="1"/>
  <c r="DB750" i="1"/>
  <c r="DC750" i="1"/>
  <c r="DD750" i="1"/>
  <c r="DE750" i="1"/>
  <c r="DF750" i="1"/>
  <c r="DG750" i="1"/>
  <c r="DH750" i="1"/>
  <c r="DI750" i="1"/>
  <c r="DA751" i="1"/>
  <c r="DB751" i="1"/>
  <c r="DC751" i="1"/>
  <c r="DD751" i="1"/>
  <c r="DE751" i="1"/>
  <c r="DF751" i="1"/>
  <c r="DG751" i="1"/>
  <c r="DH751" i="1"/>
  <c r="DI751" i="1"/>
  <c r="DA752" i="1"/>
  <c r="DB752" i="1"/>
  <c r="DC752" i="1"/>
  <c r="DD752" i="1"/>
  <c r="DE752" i="1"/>
  <c r="DF752" i="1"/>
  <c r="DG752" i="1"/>
  <c r="DH752" i="1"/>
  <c r="DI752" i="1"/>
  <c r="DA753" i="1"/>
  <c r="DB753" i="1"/>
  <c r="DC753" i="1"/>
  <c r="DD753" i="1"/>
  <c r="DE753" i="1"/>
  <c r="DF753" i="1"/>
  <c r="DG753" i="1"/>
  <c r="DH753" i="1"/>
  <c r="DI753" i="1"/>
  <c r="DA754" i="1"/>
  <c r="DB754" i="1"/>
  <c r="DC754" i="1"/>
  <c r="DD754" i="1"/>
  <c r="DE754" i="1"/>
  <c r="DF754" i="1"/>
  <c r="DG754" i="1"/>
  <c r="DH754" i="1"/>
  <c r="DI754" i="1"/>
  <c r="DA755" i="1"/>
  <c r="DB755" i="1"/>
  <c r="DC755" i="1"/>
  <c r="DD755" i="1"/>
  <c r="DE755" i="1"/>
  <c r="DF755" i="1"/>
  <c r="DG755" i="1"/>
  <c r="DH755" i="1"/>
  <c r="DI755" i="1"/>
  <c r="DA756" i="1"/>
  <c r="DB756" i="1"/>
  <c r="DC756" i="1"/>
  <c r="DD756" i="1"/>
  <c r="DE756" i="1"/>
  <c r="DF756" i="1"/>
  <c r="DG756" i="1"/>
  <c r="DH756" i="1"/>
  <c r="DI756" i="1"/>
  <c r="DA757" i="1"/>
  <c r="DB757" i="1"/>
  <c r="DC757" i="1"/>
  <c r="DD757" i="1"/>
  <c r="DE757" i="1"/>
  <c r="DF757" i="1"/>
  <c r="DG757" i="1"/>
  <c r="DH757" i="1"/>
  <c r="DI757" i="1"/>
  <c r="DA758" i="1"/>
  <c r="DB758" i="1"/>
  <c r="DC758" i="1"/>
  <c r="DD758" i="1"/>
  <c r="DE758" i="1"/>
  <c r="DF758" i="1"/>
  <c r="DG758" i="1"/>
  <c r="DH758" i="1"/>
  <c r="DI758" i="1"/>
  <c r="DA759" i="1"/>
  <c r="DB759" i="1"/>
  <c r="DC759" i="1"/>
  <c r="DD759" i="1"/>
  <c r="DE759" i="1"/>
  <c r="DF759" i="1"/>
  <c r="DG759" i="1"/>
  <c r="DH759" i="1"/>
  <c r="DI759" i="1"/>
  <c r="DA760" i="1"/>
  <c r="DB760" i="1"/>
  <c r="DC760" i="1"/>
  <c r="DD760" i="1"/>
  <c r="DE760" i="1"/>
  <c r="DF760" i="1"/>
  <c r="DG760" i="1"/>
  <c r="DH760" i="1"/>
  <c r="DI760" i="1"/>
  <c r="DA761" i="1"/>
  <c r="DB761" i="1"/>
  <c r="DC761" i="1"/>
  <c r="DD761" i="1"/>
  <c r="DE761" i="1"/>
  <c r="DF761" i="1"/>
  <c r="DG761" i="1"/>
  <c r="DH761" i="1"/>
  <c r="DI761" i="1"/>
  <c r="DA762" i="1"/>
  <c r="DB762" i="1"/>
  <c r="DC762" i="1"/>
  <c r="DD762" i="1"/>
  <c r="DE762" i="1"/>
  <c r="DF762" i="1"/>
  <c r="DG762" i="1"/>
  <c r="DH762" i="1"/>
  <c r="DI762" i="1"/>
  <c r="DA763" i="1"/>
  <c r="DB763" i="1"/>
  <c r="DC763" i="1"/>
  <c r="DD763" i="1"/>
  <c r="DE763" i="1"/>
  <c r="DF763" i="1"/>
  <c r="DG763" i="1"/>
  <c r="DH763" i="1"/>
  <c r="DI763" i="1"/>
  <c r="DA764" i="1"/>
  <c r="DB764" i="1"/>
  <c r="DC764" i="1"/>
  <c r="DD764" i="1"/>
  <c r="DE764" i="1"/>
  <c r="DF764" i="1"/>
  <c r="DG764" i="1"/>
  <c r="DH764" i="1"/>
  <c r="DI764" i="1"/>
  <c r="DA765" i="1"/>
  <c r="DB765" i="1"/>
  <c r="DC765" i="1"/>
  <c r="DD765" i="1"/>
  <c r="DE765" i="1"/>
  <c r="DF765" i="1"/>
  <c r="DG765" i="1"/>
  <c r="DH765" i="1"/>
  <c r="DI765" i="1"/>
  <c r="DA766" i="1"/>
  <c r="DB766" i="1"/>
  <c r="DC766" i="1"/>
  <c r="DD766" i="1"/>
  <c r="DE766" i="1"/>
  <c r="DF766" i="1"/>
  <c r="DG766" i="1"/>
  <c r="DH766" i="1"/>
  <c r="DI766" i="1"/>
  <c r="DA767" i="1"/>
  <c r="DB767" i="1"/>
  <c r="DC767" i="1"/>
  <c r="DD767" i="1"/>
  <c r="DE767" i="1"/>
  <c r="DF767" i="1"/>
  <c r="DG767" i="1"/>
  <c r="DH767" i="1"/>
  <c r="DI767" i="1"/>
  <c r="DA768" i="1"/>
  <c r="DB768" i="1"/>
  <c r="DC768" i="1"/>
  <c r="DD768" i="1"/>
  <c r="DE768" i="1"/>
  <c r="DF768" i="1"/>
  <c r="DG768" i="1"/>
  <c r="DH768" i="1"/>
  <c r="DI768" i="1"/>
  <c r="DA769" i="1"/>
  <c r="DB769" i="1"/>
  <c r="DC769" i="1"/>
  <c r="DD769" i="1"/>
  <c r="DE769" i="1"/>
  <c r="DF769" i="1"/>
  <c r="DG769" i="1"/>
  <c r="DH769" i="1"/>
  <c r="DI769" i="1"/>
  <c r="DA770" i="1"/>
  <c r="DB770" i="1"/>
  <c r="DC770" i="1"/>
  <c r="DD770" i="1"/>
  <c r="DE770" i="1"/>
  <c r="DF770" i="1"/>
  <c r="DG770" i="1"/>
  <c r="DH770" i="1"/>
  <c r="DI770" i="1"/>
  <c r="DA771" i="1"/>
  <c r="DB771" i="1"/>
  <c r="DC771" i="1"/>
  <c r="DD771" i="1"/>
  <c r="DE771" i="1"/>
  <c r="DF771" i="1"/>
  <c r="DG771" i="1"/>
  <c r="DH771" i="1"/>
  <c r="DI771" i="1"/>
  <c r="DA772" i="1"/>
  <c r="DB772" i="1"/>
  <c r="DC772" i="1"/>
  <c r="DD772" i="1"/>
  <c r="DE772" i="1"/>
  <c r="DF772" i="1"/>
  <c r="DG772" i="1"/>
  <c r="DH772" i="1"/>
  <c r="DI772" i="1"/>
  <c r="DA773" i="1"/>
  <c r="DB773" i="1"/>
  <c r="DC773" i="1"/>
  <c r="DD773" i="1"/>
  <c r="DE773" i="1"/>
  <c r="DF773" i="1"/>
  <c r="DG773" i="1"/>
  <c r="DH773" i="1"/>
  <c r="DI773" i="1"/>
  <c r="DA774" i="1"/>
  <c r="DB774" i="1"/>
  <c r="DC774" i="1"/>
  <c r="DD774" i="1"/>
  <c r="DE774" i="1"/>
  <c r="DF774" i="1"/>
  <c r="DG774" i="1"/>
  <c r="DH774" i="1"/>
  <c r="DI774" i="1"/>
  <c r="DA775" i="1"/>
  <c r="DB775" i="1"/>
  <c r="DC775" i="1"/>
  <c r="DD775" i="1"/>
  <c r="DE775" i="1"/>
  <c r="DF775" i="1"/>
  <c r="DG775" i="1"/>
  <c r="DH775" i="1"/>
  <c r="DI775" i="1"/>
  <c r="DA776" i="1"/>
  <c r="DB776" i="1"/>
  <c r="DC776" i="1"/>
  <c r="DD776" i="1"/>
  <c r="DE776" i="1"/>
  <c r="DF776" i="1"/>
  <c r="DG776" i="1"/>
  <c r="DH776" i="1"/>
  <c r="DI776" i="1"/>
  <c r="DA777" i="1"/>
  <c r="DB777" i="1"/>
  <c r="DC777" i="1"/>
  <c r="DD777" i="1"/>
  <c r="DE777" i="1"/>
  <c r="DF777" i="1"/>
  <c r="DG777" i="1"/>
  <c r="DH777" i="1"/>
  <c r="DI777" i="1"/>
  <c r="DA778" i="1"/>
  <c r="DB778" i="1"/>
  <c r="DC778" i="1"/>
  <c r="DD778" i="1"/>
  <c r="DE778" i="1"/>
  <c r="DF778" i="1"/>
  <c r="DG778" i="1"/>
  <c r="DH778" i="1"/>
  <c r="DI778" i="1"/>
  <c r="DA779" i="1"/>
  <c r="DB779" i="1"/>
  <c r="DC779" i="1"/>
  <c r="DD779" i="1"/>
  <c r="DE779" i="1"/>
  <c r="DF779" i="1"/>
  <c r="DG779" i="1"/>
  <c r="DH779" i="1"/>
  <c r="DI779" i="1"/>
  <c r="DA780" i="1"/>
  <c r="DB780" i="1"/>
  <c r="DC780" i="1"/>
  <c r="DD780" i="1"/>
  <c r="DE780" i="1"/>
  <c r="DF780" i="1"/>
  <c r="DG780" i="1"/>
  <c r="DH780" i="1"/>
  <c r="DI780" i="1"/>
  <c r="DA781" i="1"/>
  <c r="DB781" i="1"/>
  <c r="DC781" i="1"/>
  <c r="DD781" i="1"/>
  <c r="DE781" i="1"/>
  <c r="DF781" i="1"/>
  <c r="DG781" i="1"/>
  <c r="DH781" i="1"/>
  <c r="DI781" i="1"/>
  <c r="DA782" i="1"/>
  <c r="DB782" i="1"/>
  <c r="DC782" i="1"/>
  <c r="DD782" i="1"/>
  <c r="DE782" i="1"/>
  <c r="DF782" i="1"/>
  <c r="DG782" i="1"/>
  <c r="DH782" i="1"/>
  <c r="DI782" i="1"/>
  <c r="DA783" i="1"/>
  <c r="DB783" i="1"/>
  <c r="DC783" i="1"/>
  <c r="DD783" i="1"/>
  <c r="DE783" i="1"/>
  <c r="DF783" i="1"/>
  <c r="DG783" i="1"/>
  <c r="DH783" i="1"/>
  <c r="DI783" i="1"/>
  <c r="DA784" i="1"/>
  <c r="DB784" i="1"/>
  <c r="DC784" i="1"/>
  <c r="DD784" i="1"/>
  <c r="DE784" i="1"/>
  <c r="DF784" i="1"/>
  <c r="DG784" i="1"/>
  <c r="DH784" i="1"/>
  <c r="DI784" i="1"/>
  <c r="DA785" i="1"/>
  <c r="DB785" i="1"/>
  <c r="DC785" i="1"/>
  <c r="DD785" i="1"/>
  <c r="DE785" i="1"/>
  <c r="DF785" i="1"/>
  <c r="DG785" i="1"/>
  <c r="DH785" i="1"/>
  <c r="DI785" i="1"/>
  <c r="DA786" i="1"/>
  <c r="DB786" i="1"/>
  <c r="DC786" i="1"/>
  <c r="DD786" i="1"/>
  <c r="DE786" i="1"/>
  <c r="DF786" i="1"/>
  <c r="DG786" i="1"/>
  <c r="DH786" i="1"/>
  <c r="DI786" i="1"/>
  <c r="DA787" i="1"/>
  <c r="DB787" i="1"/>
  <c r="DC787" i="1"/>
  <c r="DD787" i="1"/>
  <c r="DE787" i="1"/>
  <c r="DF787" i="1"/>
  <c r="DG787" i="1"/>
  <c r="DH787" i="1"/>
  <c r="DI787" i="1"/>
  <c r="DA788" i="1"/>
  <c r="DB788" i="1"/>
  <c r="DC788" i="1"/>
  <c r="DD788" i="1"/>
  <c r="DE788" i="1"/>
  <c r="DF788" i="1"/>
  <c r="DG788" i="1"/>
  <c r="DH788" i="1"/>
  <c r="DI788" i="1"/>
  <c r="DA789" i="1"/>
  <c r="DB789" i="1"/>
  <c r="DC789" i="1"/>
  <c r="DD789" i="1"/>
  <c r="DE789" i="1"/>
  <c r="DF789" i="1"/>
  <c r="DG789" i="1"/>
  <c r="DH789" i="1"/>
  <c r="DI789" i="1"/>
  <c r="DA790" i="1"/>
  <c r="DB790" i="1"/>
  <c r="DC790" i="1"/>
  <c r="DD790" i="1"/>
  <c r="DE790" i="1"/>
  <c r="DF790" i="1"/>
  <c r="DG790" i="1"/>
  <c r="DH790" i="1"/>
  <c r="DI790" i="1"/>
  <c r="DA791" i="1"/>
  <c r="DB791" i="1"/>
  <c r="DC791" i="1"/>
  <c r="DD791" i="1"/>
  <c r="DE791" i="1"/>
  <c r="DF791" i="1"/>
  <c r="DG791" i="1"/>
  <c r="DH791" i="1"/>
  <c r="DI791" i="1"/>
  <c r="DA792" i="1"/>
  <c r="DB792" i="1"/>
  <c r="DC792" i="1"/>
  <c r="DD792" i="1"/>
  <c r="DE792" i="1"/>
  <c r="DF792" i="1"/>
  <c r="DG792" i="1"/>
  <c r="DH792" i="1"/>
  <c r="DI792" i="1"/>
  <c r="DA793" i="1"/>
  <c r="DB793" i="1"/>
  <c r="DC793" i="1"/>
  <c r="DD793" i="1"/>
  <c r="DE793" i="1"/>
  <c r="DF793" i="1"/>
  <c r="DG793" i="1"/>
  <c r="DH793" i="1"/>
  <c r="DI793" i="1"/>
  <c r="DA794" i="1"/>
  <c r="DB794" i="1"/>
  <c r="DC794" i="1"/>
  <c r="DD794" i="1"/>
  <c r="DE794" i="1"/>
  <c r="DF794" i="1"/>
  <c r="DG794" i="1"/>
  <c r="DH794" i="1"/>
  <c r="DI794" i="1"/>
  <c r="DA795" i="1"/>
  <c r="DB795" i="1"/>
  <c r="DC795" i="1"/>
  <c r="DD795" i="1"/>
  <c r="DE795" i="1"/>
  <c r="DF795" i="1"/>
  <c r="DG795" i="1"/>
  <c r="DH795" i="1"/>
  <c r="DI795" i="1"/>
  <c r="DA796" i="1"/>
  <c r="DB796" i="1"/>
  <c r="DC796" i="1"/>
  <c r="DD796" i="1"/>
  <c r="DE796" i="1"/>
  <c r="DF796" i="1"/>
  <c r="DG796" i="1"/>
  <c r="DH796" i="1"/>
  <c r="DI796" i="1"/>
  <c r="DA797" i="1"/>
  <c r="DB797" i="1"/>
  <c r="DC797" i="1"/>
  <c r="DD797" i="1"/>
  <c r="DE797" i="1"/>
  <c r="DF797" i="1"/>
  <c r="DG797" i="1"/>
  <c r="DH797" i="1"/>
  <c r="DI797" i="1"/>
  <c r="DA798" i="1"/>
  <c r="DB798" i="1"/>
  <c r="DC798" i="1"/>
  <c r="DD798" i="1"/>
  <c r="DE798" i="1"/>
  <c r="DF798" i="1"/>
  <c r="DG798" i="1"/>
  <c r="DH798" i="1"/>
  <c r="DI798" i="1"/>
  <c r="DA799" i="1"/>
  <c r="DB799" i="1"/>
  <c r="DC799" i="1"/>
  <c r="DD799" i="1"/>
  <c r="DE799" i="1"/>
  <c r="DF799" i="1"/>
  <c r="DG799" i="1"/>
  <c r="DH799" i="1"/>
  <c r="DI799" i="1"/>
  <c r="DA800" i="1"/>
  <c r="DB800" i="1"/>
  <c r="DC800" i="1"/>
  <c r="DD800" i="1"/>
  <c r="DE800" i="1"/>
  <c r="DF800" i="1"/>
  <c r="DG800" i="1"/>
  <c r="DH800" i="1"/>
  <c r="DI800" i="1"/>
  <c r="DA801" i="1"/>
  <c r="DB801" i="1"/>
  <c r="DC801" i="1"/>
  <c r="DD801" i="1"/>
  <c r="DE801" i="1"/>
  <c r="DF801" i="1"/>
  <c r="DG801" i="1"/>
  <c r="DH801" i="1"/>
  <c r="DI801" i="1"/>
  <c r="DA802" i="1"/>
  <c r="DB802" i="1"/>
  <c r="DC802" i="1"/>
  <c r="DD802" i="1"/>
  <c r="DE802" i="1"/>
  <c r="DF802" i="1"/>
  <c r="DG802" i="1"/>
  <c r="DH802" i="1"/>
  <c r="DI802" i="1"/>
  <c r="DA803" i="1"/>
  <c r="DB803" i="1"/>
  <c r="DC803" i="1"/>
  <c r="DD803" i="1"/>
  <c r="DE803" i="1"/>
  <c r="DF803" i="1"/>
  <c r="DG803" i="1"/>
  <c r="DH803" i="1"/>
  <c r="DI803" i="1"/>
  <c r="DA804" i="1"/>
  <c r="DB804" i="1"/>
  <c r="DC804" i="1"/>
  <c r="DD804" i="1"/>
  <c r="DE804" i="1"/>
  <c r="DF804" i="1"/>
  <c r="DG804" i="1"/>
  <c r="DH804" i="1"/>
  <c r="DI804" i="1"/>
  <c r="DA805" i="1"/>
  <c r="DB805" i="1"/>
  <c r="DC805" i="1"/>
  <c r="DD805" i="1"/>
  <c r="DE805" i="1"/>
  <c r="DF805" i="1"/>
  <c r="DG805" i="1"/>
  <c r="DH805" i="1"/>
  <c r="DI805" i="1"/>
  <c r="DA806" i="1"/>
  <c r="DB806" i="1"/>
  <c r="DC806" i="1"/>
  <c r="DD806" i="1"/>
  <c r="DE806" i="1"/>
  <c r="DF806" i="1"/>
  <c r="DG806" i="1"/>
  <c r="DH806" i="1"/>
  <c r="DI806" i="1"/>
  <c r="DA807" i="1"/>
  <c r="DB807" i="1"/>
  <c r="DC807" i="1"/>
  <c r="DD807" i="1"/>
  <c r="DE807" i="1"/>
  <c r="DF807" i="1"/>
  <c r="DG807" i="1"/>
  <c r="DH807" i="1"/>
  <c r="DI807" i="1"/>
  <c r="DA808" i="1"/>
  <c r="DB808" i="1"/>
  <c r="DC808" i="1"/>
  <c r="DD808" i="1"/>
  <c r="DE808" i="1"/>
  <c r="DF808" i="1"/>
  <c r="DG808" i="1"/>
  <c r="DH808" i="1"/>
  <c r="DI808" i="1"/>
  <c r="DA809" i="1"/>
  <c r="DB809" i="1"/>
  <c r="DC809" i="1"/>
  <c r="DD809" i="1"/>
  <c r="DE809" i="1"/>
  <c r="DF809" i="1"/>
  <c r="DG809" i="1"/>
  <c r="DH809" i="1"/>
  <c r="DI809" i="1"/>
  <c r="DA810" i="1"/>
  <c r="DB810" i="1"/>
  <c r="DC810" i="1"/>
  <c r="DD810" i="1"/>
  <c r="DE810" i="1"/>
  <c r="DF810" i="1"/>
  <c r="DG810" i="1"/>
  <c r="DH810" i="1"/>
  <c r="DI810" i="1"/>
  <c r="DA811" i="1"/>
  <c r="DB811" i="1"/>
  <c r="DC811" i="1"/>
  <c r="DD811" i="1"/>
  <c r="DE811" i="1"/>
  <c r="DF811" i="1"/>
  <c r="DG811" i="1"/>
  <c r="DH811" i="1"/>
  <c r="DI811" i="1"/>
  <c r="DA812" i="1"/>
  <c r="DB812" i="1"/>
  <c r="DC812" i="1"/>
  <c r="DD812" i="1"/>
  <c r="DE812" i="1"/>
  <c r="DF812" i="1"/>
  <c r="DG812" i="1"/>
  <c r="DH812" i="1"/>
  <c r="DI812" i="1"/>
  <c r="DA813" i="1"/>
  <c r="DB813" i="1"/>
  <c r="DC813" i="1"/>
  <c r="DD813" i="1"/>
  <c r="DE813" i="1"/>
  <c r="DF813" i="1"/>
  <c r="DG813" i="1"/>
  <c r="DH813" i="1"/>
  <c r="DI813" i="1"/>
  <c r="DA814" i="1"/>
  <c r="DB814" i="1"/>
  <c r="DC814" i="1"/>
  <c r="DD814" i="1"/>
  <c r="DE814" i="1"/>
  <c r="DF814" i="1"/>
  <c r="DG814" i="1"/>
  <c r="DH814" i="1"/>
  <c r="DI814" i="1"/>
  <c r="DA815" i="1"/>
  <c r="DB815" i="1"/>
  <c r="DC815" i="1"/>
  <c r="DD815" i="1"/>
  <c r="DE815" i="1"/>
  <c r="DF815" i="1"/>
  <c r="DG815" i="1"/>
  <c r="DH815" i="1"/>
  <c r="DI815" i="1"/>
  <c r="DA816" i="1"/>
  <c r="DB816" i="1"/>
  <c r="DC816" i="1"/>
  <c r="DD816" i="1"/>
  <c r="DE816" i="1"/>
  <c r="DF816" i="1"/>
  <c r="DG816" i="1"/>
  <c r="DH816" i="1"/>
  <c r="DI816" i="1"/>
  <c r="DA817" i="1"/>
  <c r="DB817" i="1"/>
  <c r="DC817" i="1"/>
  <c r="DD817" i="1"/>
  <c r="DE817" i="1"/>
  <c r="DF817" i="1"/>
  <c r="DG817" i="1"/>
  <c r="DH817" i="1"/>
  <c r="DI817" i="1"/>
  <c r="DA818" i="1"/>
  <c r="DB818" i="1"/>
  <c r="DC818" i="1"/>
  <c r="DD818" i="1"/>
  <c r="DE818" i="1"/>
  <c r="DF818" i="1"/>
  <c r="DG818" i="1"/>
  <c r="DH818" i="1"/>
  <c r="DI818" i="1"/>
  <c r="DA819" i="1"/>
  <c r="DB819" i="1"/>
  <c r="DC819" i="1"/>
  <c r="DD819" i="1"/>
  <c r="DE819" i="1"/>
  <c r="DF819" i="1"/>
  <c r="DG819" i="1"/>
  <c r="DH819" i="1"/>
  <c r="DI819" i="1"/>
  <c r="DA820" i="1"/>
  <c r="DB820" i="1"/>
  <c r="DC820" i="1"/>
  <c r="DD820" i="1"/>
  <c r="DE820" i="1"/>
  <c r="DF820" i="1"/>
  <c r="DG820" i="1"/>
  <c r="DH820" i="1"/>
  <c r="DI820" i="1"/>
  <c r="DA821" i="1"/>
  <c r="DB821" i="1"/>
  <c r="DC821" i="1"/>
  <c r="DD821" i="1"/>
  <c r="DE821" i="1"/>
  <c r="DF821" i="1"/>
  <c r="DG821" i="1"/>
  <c r="DH821" i="1"/>
  <c r="DI821" i="1"/>
  <c r="DA822" i="1"/>
  <c r="DB822" i="1"/>
  <c r="DC822" i="1"/>
  <c r="DD822" i="1"/>
  <c r="DE822" i="1"/>
  <c r="DF822" i="1"/>
  <c r="DG822" i="1"/>
  <c r="DH822" i="1"/>
  <c r="DI822" i="1"/>
  <c r="DA823" i="1"/>
  <c r="DB823" i="1"/>
  <c r="DC823" i="1"/>
  <c r="DD823" i="1"/>
  <c r="DE823" i="1"/>
  <c r="DF823" i="1"/>
  <c r="DG823" i="1"/>
  <c r="DH823" i="1"/>
  <c r="DI823" i="1"/>
  <c r="DA824" i="1"/>
  <c r="DB824" i="1"/>
  <c r="DC824" i="1"/>
  <c r="DD824" i="1"/>
  <c r="DE824" i="1"/>
  <c r="DF824" i="1"/>
  <c r="DG824" i="1"/>
  <c r="DH824" i="1"/>
  <c r="DI824" i="1"/>
  <c r="DA825" i="1"/>
  <c r="DB825" i="1"/>
  <c r="DC825" i="1"/>
  <c r="DD825" i="1"/>
  <c r="DE825" i="1"/>
  <c r="DF825" i="1"/>
  <c r="DG825" i="1"/>
  <c r="DH825" i="1"/>
  <c r="DI825" i="1"/>
  <c r="DA826" i="1"/>
  <c r="DB826" i="1"/>
  <c r="DC826" i="1"/>
  <c r="DD826" i="1"/>
  <c r="DE826" i="1"/>
  <c r="DF826" i="1"/>
  <c r="DG826" i="1"/>
  <c r="DH826" i="1"/>
  <c r="DI826" i="1"/>
  <c r="DA827" i="1"/>
  <c r="DB827" i="1"/>
  <c r="DC827" i="1"/>
  <c r="DD827" i="1"/>
  <c r="DE827" i="1"/>
  <c r="DF827" i="1"/>
  <c r="DG827" i="1"/>
  <c r="DH827" i="1"/>
  <c r="DI827" i="1"/>
  <c r="DA828" i="1"/>
  <c r="DB828" i="1"/>
  <c r="DC828" i="1"/>
  <c r="DD828" i="1"/>
  <c r="DE828" i="1"/>
  <c r="DF828" i="1"/>
  <c r="DG828" i="1"/>
  <c r="DH828" i="1"/>
  <c r="DI828" i="1"/>
  <c r="DA829" i="1"/>
  <c r="DB829" i="1"/>
  <c r="DC829" i="1"/>
  <c r="DD829" i="1"/>
  <c r="DE829" i="1"/>
  <c r="DF829" i="1"/>
  <c r="DG829" i="1"/>
  <c r="DH829" i="1"/>
  <c r="DI829" i="1"/>
  <c r="DA830" i="1"/>
  <c r="DB830" i="1"/>
  <c r="DC830" i="1"/>
  <c r="DD830" i="1"/>
  <c r="DE830" i="1"/>
  <c r="DF830" i="1"/>
  <c r="DG830" i="1"/>
  <c r="DH830" i="1"/>
  <c r="DI830" i="1"/>
  <c r="DA831" i="1"/>
  <c r="DB831" i="1"/>
  <c r="DC831" i="1"/>
  <c r="DD831" i="1"/>
  <c r="DE831" i="1"/>
  <c r="DF831" i="1"/>
  <c r="DG831" i="1"/>
  <c r="DH831" i="1"/>
  <c r="DI831" i="1"/>
  <c r="DA832" i="1"/>
  <c r="DB832" i="1"/>
  <c r="DC832" i="1"/>
  <c r="DD832" i="1"/>
  <c r="DE832" i="1"/>
  <c r="DF832" i="1"/>
  <c r="DG832" i="1"/>
  <c r="DH832" i="1"/>
  <c r="DI832" i="1"/>
  <c r="DA833" i="1"/>
  <c r="DB833" i="1"/>
  <c r="DC833" i="1"/>
  <c r="DD833" i="1"/>
  <c r="DE833" i="1"/>
  <c r="DF833" i="1"/>
  <c r="DG833" i="1"/>
  <c r="DH833" i="1"/>
  <c r="DI833" i="1"/>
  <c r="DA834" i="1"/>
  <c r="DB834" i="1"/>
  <c r="DC834" i="1"/>
  <c r="DD834" i="1"/>
  <c r="DE834" i="1"/>
  <c r="DF834" i="1"/>
  <c r="DG834" i="1"/>
  <c r="DH834" i="1"/>
  <c r="DI834" i="1"/>
  <c r="DA835" i="1"/>
  <c r="DB835" i="1"/>
  <c r="DC835" i="1"/>
  <c r="DD835" i="1"/>
  <c r="DE835" i="1"/>
  <c r="DF835" i="1"/>
  <c r="DG835" i="1"/>
  <c r="DH835" i="1"/>
  <c r="DI835" i="1"/>
  <c r="DA836" i="1"/>
  <c r="DB836" i="1"/>
  <c r="DC836" i="1"/>
  <c r="DD836" i="1"/>
  <c r="DE836" i="1"/>
  <c r="DF836" i="1"/>
  <c r="DG836" i="1"/>
  <c r="DH836" i="1"/>
  <c r="DI836" i="1"/>
  <c r="DA837" i="1"/>
  <c r="DB837" i="1"/>
  <c r="DC837" i="1"/>
  <c r="DD837" i="1"/>
  <c r="DE837" i="1"/>
  <c r="DF837" i="1"/>
  <c r="DG837" i="1"/>
  <c r="DH837" i="1"/>
  <c r="DI837" i="1"/>
  <c r="DA838" i="1"/>
  <c r="DB838" i="1"/>
  <c r="DC838" i="1"/>
  <c r="DD838" i="1"/>
  <c r="DE838" i="1"/>
  <c r="DF838" i="1"/>
  <c r="DG838" i="1"/>
  <c r="DH838" i="1"/>
  <c r="DI838" i="1"/>
  <c r="DA839" i="1"/>
  <c r="DB839" i="1"/>
  <c r="DC839" i="1"/>
  <c r="DD839" i="1"/>
  <c r="DE839" i="1"/>
  <c r="DF839" i="1"/>
  <c r="DG839" i="1"/>
  <c r="DH839" i="1"/>
  <c r="DI839" i="1"/>
  <c r="DA840" i="1"/>
  <c r="DB840" i="1"/>
  <c r="DC840" i="1"/>
  <c r="DD840" i="1"/>
  <c r="DE840" i="1"/>
  <c r="DF840" i="1"/>
  <c r="DG840" i="1"/>
  <c r="DH840" i="1"/>
  <c r="DI840" i="1"/>
  <c r="DA841" i="1"/>
  <c r="DB841" i="1"/>
  <c r="DC841" i="1"/>
  <c r="DD841" i="1"/>
  <c r="DE841" i="1"/>
  <c r="DF841" i="1"/>
  <c r="DG841" i="1"/>
  <c r="DH841" i="1"/>
  <c r="DI841" i="1"/>
  <c r="DA842" i="1"/>
  <c r="DB842" i="1"/>
  <c r="DC842" i="1"/>
  <c r="DD842" i="1"/>
  <c r="DE842" i="1"/>
  <c r="DF842" i="1"/>
  <c r="DG842" i="1"/>
  <c r="DH842" i="1"/>
  <c r="DI842" i="1"/>
  <c r="DA843" i="1"/>
  <c r="DB843" i="1"/>
  <c r="DC843" i="1"/>
  <c r="DD843" i="1"/>
  <c r="DE843" i="1"/>
  <c r="DF843" i="1"/>
  <c r="DG843" i="1"/>
  <c r="DH843" i="1"/>
  <c r="DI843" i="1"/>
  <c r="DA844" i="1"/>
  <c r="DB844" i="1"/>
  <c r="DC844" i="1"/>
  <c r="DD844" i="1"/>
  <c r="DE844" i="1"/>
  <c r="DF844" i="1"/>
  <c r="DG844" i="1"/>
  <c r="DH844" i="1"/>
  <c r="DI844" i="1"/>
  <c r="DA845" i="1"/>
  <c r="DB845" i="1"/>
  <c r="DC845" i="1"/>
  <c r="DD845" i="1"/>
  <c r="DE845" i="1"/>
  <c r="DF845" i="1"/>
  <c r="DG845" i="1"/>
  <c r="DH845" i="1"/>
  <c r="DI845" i="1"/>
  <c r="DA846" i="1"/>
  <c r="DB846" i="1"/>
  <c r="DC846" i="1"/>
  <c r="DD846" i="1"/>
  <c r="DE846" i="1"/>
  <c r="DF846" i="1"/>
  <c r="DG846" i="1"/>
  <c r="DH846" i="1"/>
  <c r="DI846" i="1"/>
  <c r="DA847" i="1"/>
  <c r="DB847" i="1"/>
  <c r="DC847" i="1"/>
  <c r="DD847" i="1"/>
  <c r="DE847" i="1"/>
  <c r="DF847" i="1"/>
  <c r="DG847" i="1"/>
  <c r="DH847" i="1"/>
  <c r="DI847" i="1"/>
  <c r="DA848" i="1"/>
  <c r="DB848" i="1"/>
  <c r="DC848" i="1"/>
  <c r="DD848" i="1"/>
  <c r="DE848" i="1"/>
  <c r="DF848" i="1"/>
  <c r="DG848" i="1"/>
  <c r="DH848" i="1"/>
  <c r="DI848" i="1"/>
  <c r="DA849" i="1"/>
  <c r="DB849" i="1"/>
  <c r="DC849" i="1"/>
  <c r="DD849" i="1"/>
  <c r="DE849" i="1"/>
  <c r="DF849" i="1"/>
  <c r="DG849" i="1"/>
  <c r="DH849" i="1"/>
  <c r="DI849" i="1"/>
  <c r="DA850" i="1"/>
  <c r="DB850" i="1"/>
  <c r="DC850" i="1"/>
  <c r="DD850" i="1"/>
  <c r="DE850" i="1"/>
  <c r="DF850" i="1"/>
  <c r="DG850" i="1"/>
  <c r="DH850" i="1"/>
  <c r="DI850" i="1"/>
  <c r="DA851" i="1"/>
  <c r="DB851" i="1"/>
  <c r="DC851" i="1"/>
  <c r="DD851" i="1"/>
  <c r="DE851" i="1"/>
  <c r="DF851" i="1"/>
  <c r="DG851" i="1"/>
  <c r="DH851" i="1"/>
  <c r="DI851" i="1"/>
  <c r="DA852" i="1"/>
  <c r="DB852" i="1"/>
  <c r="DC852" i="1"/>
  <c r="DD852" i="1"/>
  <c r="DE852" i="1"/>
  <c r="DF852" i="1"/>
  <c r="DG852" i="1"/>
  <c r="DH852" i="1"/>
  <c r="DI852" i="1"/>
  <c r="DA853" i="1"/>
  <c r="DB853" i="1"/>
  <c r="DC853" i="1"/>
  <c r="DD853" i="1"/>
  <c r="DE853" i="1"/>
  <c r="DF853" i="1"/>
  <c r="DG853" i="1"/>
  <c r="DH853" i="1"/>
  <c r="DI853" i="1"/>
  <c r="DA854" i="1"/>
  <c r="DB854" i="1"/>
  <c r="DC854" i="1"/>
  <c r="DD854" i="1"/>
  <c r="DE854" i="1"/>
  <c r="DF854" i="1"/>
  <c r="DG854" i="1"/>
  <c r="DH854" i="1"/>
  <c r="DI854" i="1"/>
  <c r="DA855" i="1"/>
  <c r="DB855" i="1"/>
  <c r="DC855" i="1"/>
  <c r="DD855" i="1"/>
  <c r="DE855" i="1"/>
  <c r="DF855" i="1"/>
  <c r="DG855" i="1"/>
  <c r="DH855" i="1"/>
  <c r="DI855" i="1"/>
  <c r="DA856" i="1"/>
  <c r="DB856" i="1"/>
  <c r="DC856" i="1"/>
  <c r="DD856" i="1"/>
  <c r="DE856" i="1"/>
  <c r="DF856" i="1"/>
  <c r="DG856" i="1"/>
  <c r="DH856" i="1"/>
  <c r="DI856" i="1"/>
  <c r="DA857" i="1"/>
  <c r="DB857" i="1"/>
  <c r="DC857" i="1"/>
  <c r="DD857" i="1"/>
  <c r="DE857" i="1"/>
  <c r="DF857" i="1"/>
  <c r="DG857" i="1"/>
  <c r="DH857" i="1"/>
  <c r="DI857" i="1"/>
  <c r="DA858" i="1"/>
  <c r="DB858" i="1"/>
  <c r="DC858" i="1"/>
  <c r="DD858" i="1"/>
  <c r="DE858" i="1"/>
  <c r="DF858" i="1"/>
  <c r="DG858" i="1"/>
  <c r="DH858" i="1"/>
  <c r="DI858" i="1"/>
  <c r="DA859" i="1"/>
  <c r="DB859" i="1"/>
  <c r="DC859" i="1"/>
  <c r="DD859" i="1"/>
  <c r="DE859" i="1"/>
  <c r="DF859" i="1"/>
  <c r="DG859" i="1"/>
  <c r="DH859" i="1"/>
  <c r="DI859" i="1"/>
  <c r="DA860" i="1"/>
  <c r="DB860" i="1"/>
  <c r="DC860" i="1"/>
  <c r="DD860" i="1"/>
  <c r="DE860" i="1"/>
  <c r="DF860" i="1"/>
  <c r="DG860" i="1"/>
  <c r="DH860" i="1"/>
  <c r="DI860" i="1"/>
  <c r="DA861" i="1"/>
  <c r="DB861" i="1"/>
  <c r="DC861" i="1"/>
  <c r="DD861" i="1"/>
  <c r="DE861" i="1"/>
  <c r="DF861" i="1"/>
  <c r="DG861" i="1"/>
  <c r="DH861" i="1"/>
  <c r="DI861" i="1"/>
  <c r="DA862" i="1"/>
  <c r="DB862" i="1"/>
  <c r="DC862" i="1"/>
  <c r="DD862" i="1"/>
  <c r="DE862" i="1"/>
  <c r="DF862" i="1"/>
  <c r="DG862" i="1"/>
  <c r="DH862" i="1"/>
  <c r="DI862" i="1"/>
  <c r="DA863" i="1"/>
  <c r="DB863" i="1"/>
  <c r="DC863" i="1"/>
  <c r="DD863" i="1"/>
  <c r="DE863" i="1"/>
  <c r="DF863" i="1"/>
  <c r="DG863" i="1"/>
  <c r="DH863" i="1"/>
  <c r="DI863" i="1"/>
  <c r="DA864" i="1"/>
  <c r="DB864" i="1"/>
  <c r="DC864" i="1"/>
  <c r="DD864" i="1"/>
  <c r="DE864" i="1"/>
  <c r="DF864" i="1"/>
  <c r="DG864" i="1"/>
  <c r="DH864" i="1"/>
  <c r="DI864" i="1"/>
  <c r="DA865" i="1"/>
  <c r="DB865" i="1"/>
  <c r="DC865" i="1"/>
  <c r="DD865" i="1"/>
  <c r="DE865" i="1"/>
  <c r="DF865" i="1"/>
  <c r="DG865" i="1"/>
  <c r="DH865" i="1"/>
  <c r="DI865" i="1"/>
  <c r="DA866" i="1"/>
  <c r="DB866" i="1"/>
  <c r="DC866" i="1"/>
  <c r="DD866" i="1"/>
  <c r="DE866" i="1"/>
  <c r="DF866" i="1"/>
  <c r="DG866" i="1"/>
  <c r="DH866" i="1"/>
  <c r="DI866" i="1"/>
  <c r="DA867" i="1"/>
  <c r="DB867" i="1"/>
  <c r="DC867" i="1"/>
  <c r="DD867" i="1"/>
  <c r="DE867" i="1"/>
  <c r="DF867" i="1"/>
  <c r="DG867" i="1"/>
  <c r="DH867" i="1"/>
  <c r="DI867" i="1"/>
  <c r="DA868" i="1"/>
  <c r="DB868" i="1"/>
  <c r="DC868" i="1"/>
  <c r="DD868" i="1"/>
  <c r="DE868" i="1"/>
  <c r="DF868" i="1"/>
  <c r="DG868" i="1"/>
  <c r="DH868" i="1"/>
  <c r="DI868" i="1"/>
  <c r="DA869" i="1"/>
  <c r="DB869" i="1"/>
  <c r="DC869" i="1"/>
  <c r="DD869" i="1"/>
  <c r="DE869" i="1"/>
  <c r="DF869" i="1"/>
  <c r="DG869" i="1"/>
  <c r="DH869" i="1"/>
  <c r="DI869" i="1"/>
  <c r="DA870" i="1"/>
  <c r="DB870" i="1"/>
  <c r="DC870" i="1"/>
  <c r="DD870" i="1"/>
  <c r="DE870" i="1"/>
  <c r="DF870" i="1"/>
  <c r="DG870" i="1"/>
  <c r="DH870" i="1"/>
  <c r="DI870" i="1"/>
  <c r="DA871" i="1"/>
  <c r="DB871" i="1"/>
  <c r="DC871" i="1"/>
  <c r="DD871" i="1"/>
  <c r="DE871" i="1"/>
  <c r="DF871" i="1"/>
  <c r="DG871" i="1"/>
  <c r="DH871" i="1"/>
  <c r="DI871" i="1"/>
  <c r="DA872" i="1"/>
  <c r="DB872" i="1"/>
  <c r="DC872" i="1"/>
  <c r="DD872" i="1"/>
  <c r="DE872" i="1"/>
  <c r="DF872" i="1"/>
  <c r="DG872" i="1"/>
  <c r="DH872" i="1"/>
  <c r="DI872" i="1"/>
  <c r="DA873" i="1"/>
  <c r="DB873" i="1"/>
  <c r="DC873" i="1"/>
  <c r="DD873" i="1"/>
  <c r="DE873" i="1"/>
  <c r="DF873" i="1"/>
  <c r="DG873" i="1"/>
  <c r="DH873" i="1"/>
  <c r="DI873" i="1"/>
  <c r="DA874" i="1"/>
  <c r="DB874" i="1"/>
  <c r="DC874" i="1"/>
  <c r="DD874" i="1"/>
  <c r="DE874" i="1"/>
  <c r="DF874" i="1"/>
  <c r="DG874" i="1"/>
  <c r="DH874" i="1"/>
  <c r="DI874" i="1"/>
  <c r="DA875" i="1"/>
  <c r="DB875" i="1"/>
  <c r="DC875" i="1"/>
  <c r="DD875" i="1"/>
  <c r="DE875" i="1"/>
  <c r="DF875" i="1"/>
  <c r="DG875" i="1"/>
  <c r="DH875" i="1"/>
  <c r="DI875" i="1"/>
  <c r="DA876" i="1"/>
  <c r="DB876" i="1"/>
  <c r="DC876" i="1"/>
  <c r="DD876" i="1"/>
  <c r="DE876" i="1"/>
  <c r="DF876" i="1"/>
  <c r="DG876" i="1"/>
  <c r="DH876" i="1"/>
  <c r="DI876" i="1"/>
  <c r="DA877" i="1"/>
  <c r="DB877" i="1"/>
  <c r="DC877" i="1"/>
  <c r="DD877" i="1"/>
  <c r="DE877" i="1"/>
  <c r="DF877" i="1"/>
  <c r="DG877" i="1"/>
  <c r="DH877" i="1"/>
  <c r="DI877" i="1"/>
  <c r="DA878" i="1"/>
  <c r="DB878" i="1"/>
  <c r="DC878" i="1"/>
  <c r="DD878" i="1"/>
  <c r="DE878" i="1"/>
  <c r="DF878" i="1"/>
  <c r="DG878" i="1"/>
  <c r="DH878" i="1"/>
  <c r="DI878" i="1"/>
  <c r="DA879" i="1"/>
  <c r="DB879" i="1"/>
  <c r="DC879" i="1"/>
  <c r="DD879" i="1"/>
  <c r="DE879" i="1"/>
  <c r="DF879" i="1"/>
  <c r="DG879" i="1"/>
  <c r="DH879" i="1"/>
  <c r="DI879" i="1"/>
  <c r="DA880" i="1"/>
  <c r="DB880" i="1"/>
  <c r="DC880" i="1"/>
  <c r="DD880" i="1"/>
  <c r="DE880" i="1"/>
  <c r="DF880" i="1"/>
  <c r="DG880" i="1"/>
  <c r="DH880" i="1"/>
  <c r="DI880" i="1"/>
  <c r="DA881" i="1"/>
  <c r="DB881" i="1"/>
  <c r="DC881" i="1"/>
  <c r="DD881" i="1"/>
  <c r="DE881" i="1"/>
  <c r="DF881" i="1"/>
  <c r="DG881" i="1"/>
  <c r="DH881" i="1"/>
  <c r="DI881" i="1"/>
  <c r="DA882" i="1"/>
  <c r="DB882" i="1"/>
  <c r="DC882" i="1"/>
  <c r="DD882" i="1"/>
  <c r="DE882" i="1"/>
  <c r="DF882" i="1"/>
  <c r="DG882" i="1"/>
  <c r="DH882" i="1"/>
  <c r="DI882" i="1"/>
  <c r="DA883" i="1"/>
  <c r="DB883" i="1"/>
  <c r="DC883" i="1"/>
  <c r="DD883" i="1"/>
  <c r="DE883" i="1"/>
  <c r="DF883" i="1"/>
  <c r="DG883" i="1"/>
  <c r="DH883" i="1"/>
  <c r="DI883" i="1"/>
  <c r="DA884" i="1"/>
  <c r="DB884" i="1"/>
  <c r="DC884" i="1"/>
  <c r="DD884" i="1"/>
  <c r="DE884" i="1"/>
  <c r="DF884" i="1"/>
  <c r="DG884" i="1"/>
  <c r="DH884" i="1"/>
  <c r="DI884" i="1"/>
  <c r="DA885" i="1"/>
  <c r="DB885" i="1"/>
  <c r="DC885" i="1"/>
  <c r="DD885" i="1"/>
  <c r="DE885" i="1"/>
  <c r="DF885" i="1"/>
  <c r="DG885" i="1"/>
  <c r="DH885" i="1"/>
  <c r="DI885" i="1"/>
  <c r="DA886" i="1"/>
  <c r="DB886" i="1"/>
  <c r="DC886" i="1"/>
  <c r="DD886" i="1"/>
  <c r="DE886" i="1"/>
  <c r="DF886" i="1"/>
  <c r="DG886" i="1"/>
  <c r="DH886" i="1"/>
  <c r="DI886" i="1"/>
  <c r="DA887" i="1"/>
  <c r="DB887" i="1"/>
  <c r="DC887" i="1"/>
  <c r="DD887" i="1"/>
  <c r="DE887" i="1"/>
  <c r="DF887" i="1"/>
  <c r="DG887" i="1"/>
  <c r="DH887" i="1"/>
  <c r="DI887" i="1"/>
  <c r="DA888" i="1"/>
  <c r="DB888" i="1"/>
  <c r="DC888" i="1"/>
  <c r="DD888" i="1"/>
  <c r="DE888" i="1"/>
  <c r="DF888" i="1"/>
  <c r="DG888" i="1"/>
  <c r="DH888" i="1"/>
  <c r="DI888" i="1"/>
  <c r="DA889" i="1"/>
  <c r="DB889" i="1"/>
  <c r="DC889" i="1"/>
  <c r="DD889" i="1"/>
  <c r="DE889" i="1"/>
  <c r="DF889" i="1"/>
  <c r="DG889" i="1"/>
  <c r="DH889" i="1"/>
  <c r="DI889" i="1"/>
  <c r="DA890" i="1"/>
  <c r="DB890" i="1"/>
  <c r="DC890" i="1"/>
  <c r="DD890" i="1"/>
  <c r="DE890" i="1"/>
  <c r="DF890" i="1"/>
  <c r="DG890" i="1"/>
  <c r="DH890" i="1"/>
  <c r="DI890" i="1"/>
  <c r="DA891" i="1"/>
  <c r="DB891" i="1"/>
  <c r="DC891" i="1"/>
  <c r="DD891" i="1"/>
  <c r="DE891" i="1"/>
  <c r="DF891" i="1"/>
  <c r="DG891" i="1"/>
  <c r="DH891" i="1"/>
  <c r="DI891" i="1"/>
  <c r="DA892" i="1"/>
  <c r="DB892" i="1"/>
  <c r="DC892" i="1"/>
  <c r="DD892" i="1"/>
  <c r="DE892" i="1"/>
  <c r="DF892" i="1"/>
  <c r="DG892" i="1"/>
  <c r="DH892" i="1"/>
  <c r="DI892" i="1"/>
  <c r="DA893" i="1"/>
  <c r="DB893" i="1"/>
  <c r="DC893" i="1"/>
  <c r="DD893" i="1"/>
  <c r="DE893" i="1"/>
  <c r="DF893" i="1"/>
  <c r="DG893" i="1"/>
  <c r="DH893" i="1"/>
  <c r="DI893" i="1"/>
  <c r="DA894" i="1"/>
  <c r="DB894" i="1"/>
  <c r="DC894" i="1"/>
  <c r="DD894" i="1"/>
  <c r="DE894" i="1"/>
  <c r="DF894" i="1"/>
  <c r="DG894" i="1"/>
  <c r="DH894" i="1"/>
  <c r="DI894" i="1"/>
  <c r="DA895" i="1"/>
  <c r="DB895" i="1"/>
  <c r="DC895" i="1"/>
  <c r="DD895" i="1"/>
  <c r="DE895" i="1"/>
  <c r="DF895" i="1"/>
  <c r="DG895" i="1"/>
  <c r="DH895" i="1"/>
  <c r="DI895" i="1"/>
  <c r="DA896" i="1"/>
  <c r="DB896" i="1"/>
  <c r="DC896" i="1"/>
  <c r="DD896" i="1"/>
  <c r="DE896" i="1"/>
  <c r="DF896" i="1"/>
  <c r="DG896" i="1"/>
  <c r="DH896" i="1"/>
  <c r="DI896" i="1"/>
  <c r="DA897" i="1"/>
  <c r="DB897" i="1"/>
  <c r="DC897" i="1"/>
  <c r="DD897" i="1"/>
  <c r="DE897" i="1"/>
  <c r="DF897" i="1"/>
  <c r="DG897" i="1"/>
  <c r="DH897" i="1"/>
  <c r="DI897" i="1"/>
  <c r="DA898" i="1"/>
  <c r="DB898" i="1"/>
  <c r="DC898" i="1"/>
  <c r="DD898" i="1"/>
  <c r="DE898" i="1"/>
  <c r="DF898" i="1"/>
  <c r="DG898" i="1"/>
  <c r="DH898" i="1"/>
  <c r="DI898" i="1"/>
  <c r="DA899" i="1"/>
  <c r="DB899" i="1"/>
  <c r="DC899" i="1"/>
  <c r="DD899" i="1"/>
  <c r="DE899" i="1"/>
  <c r="DF899" i="1"/>
  <c r="DG899" i="1"/>
  <c r="DH899" i="1"/>
  <c r="DI899" i="1"/>
  <c r="DA900" i="1"/>
  <c r="DB900" i="1"/>
  <c r="DC900" i="1"/>
  <c r="DD900" i="1"/>
  <c r="DE900" i="1"/>
  <c r="DF900" i="1"/>
  <c r="DG900" i="1"/>
  <c r="DH900" i="1"/>
  <c r="DI900" i="1"/>
  <c r="DA901" i="1"/>
  <c r="DB901" i="1"/>
  <c r="DC901" i="1"/>
  <c r="DD901" i="1"/>
  <c r="DE901" i="1"/>
  <c r="DF901" i="1"/>
  <c r="DG901" i="1"/>
  <c r="DH901" i="1"/>
  <c r="DI901" i="1"/>
  <c r="DA902" i="1"/>
  <c r="DB902" i="1"/>
  <c r="DC902" i="1"/>
  <c r="DD902" i="1"/>
  <c r="DE902" i="1"/>
  <c r="DF902" i="1"/>
  <c r="DG902" i="1"/>
  <c r="DH902" i="1"/>
  <c r="DI902" i="1"/>
  <c r="DA903" i="1"/>
  <c r="DB903" i="1"/>
  <c r="DC903" i="1"/>
  <c r="DD903" i="1"/>
  <c r="DE903" i="1"/>
  <c r="DF903" i="1"/>
  <c r="DG903" i="1"/>
  <c r="DH903" i="1"/>
  <c r="DI903" i="1"/>
  <c r="DA904" i="1"/>
  <c r="DB904" i="1"/>
  <c r="DC904" i="1"/>
  <c r="DD904" i="1"/>
  <c r="DE904" i="1"/>
  <c r="DF904" i="1"/>
  <c r="DG904" i="1"/>
  <c r="DH904" i="1"/>
  <c r="DI904" i="1"/>
  <c r="DA905" i="1"/>
  <c r="DB905" i="1"/>
  <c r="DC905" i="1"/>
  <c r="DD905" i="1"/>
  <c r="DE905" i="1"/>
  <c r="DF905" i="1"/>
  <c r="DG905" i="1"/>
  <c r="DH905" i="1"/>
  <c r="DI905" i="1"/>
  <c r="DA906" i="1"/>
  <c r="DB906" i="1"/>
  <c r="DC906" i="1"/>
  <c r="DD906" i="1"/>
  <c r="DE906" i="1"/>
  <c r="DF906" i="1"/>
  <c r="DG906" i="1"/>
  <c r="DH906" i="1"/>
  <c r="DI906" i="1"/>
  <c r="DA907" i="1"/>
  <c r="DB907" i="1"/>
  <c r="DC907" i="1"/>
  <c r="DD907" i="1"/>
  <c r="DE907" i="1"/>
  <c r="DF907" i="1"/>
  <c r="DG907" i="1"/>
  <c r="DH907" i="1"/>
  <c r="DI907" i="1"/>
  <c r="DA908" i="1"/>
  <c r="DB908" i="1"/>
  <c r="DC908" i="1"/>
  <c r="DD908" i="1"/>
  <c r="DE908" i="1"/>
  <c r="DF908" i="1"/>
  <c r="DG908" i="1"/>
  <c r="DH908" i="1"/>
  <c r="DI908" i="1"/>
  <c r="DA909" i="1"/>
  <c r="DB909" i="1"/>
  <c r="DC909" i="1"/>
  <c r="DD909" i="1"/>
  <c r="DE909" i="1"/>
  <c r="DF909" i="1"/>
  <c r="DG909" i="1"/>
  <c r="DH909" i="1"/>
  <c r="DI909" i="1"/>
  <c r="DA910" i="1"/>
  <c r="DB910" i="1"/>
  <c r="DC910" i="1"/>
  <c r="DD910" i="1"/>
  <c r="DE910" i="1"/>
  <c r="DF910" i="1"/>
  <c r="DG910" i="1"/>
  <c r="DH910" i="1"/>
  <c r="DI910" i="1"/>
  <c r="DA911" i="1"/>
  <c r="DB911" i="1"/>
  <c r="DC911" i="1"/>
  <c r="DD911" i="1"/>
  <c r="DE911" i="1"/>
  <c r="DF911" i="1"/>
  <c r="DG911" i="1"/>
  <c r="DH911" i="1"/>
  <c r="DI911" i="1"/>
  <c r="DA912" i="1"/>
  <c r="DB912" i="1"/>
  <c r="DC912" i="1"/>
  <c r="DD912" i="1"/>
  <c r="DE912" i="1"/>
  <c r="DF912" i="1"/>
  <c r="DG912" i="1"/>
  <c r="DH912" i="1"/>
  <c r="DI912" i="1"/>
  <c r="DA913" i="1"/>
  <c r="DB913" i="1"/>
  <c r="DC913" i="1"/>
  <c r="DD913" i="1"/>
  <c r="DE913" i="1"/>
  <c r="DF913" i="1"/>
  <c r="DG913" i="1"/>
  <c r="DH913" i="1"/>
  <c r="DI913" i="1"/>
  <c r="DA914" i="1"/>
  <c r="DB914" i="1"/>
  <c r="DC914" i="1"/>
  <c r="DD914" i="1"/>
  <c r="DE914" i="1"/>
  <c r="DF914" i="1"/>
  <c r="DG914" i="1"/>
  <c r="DH914" i="1"/>
  <c r="DI914" i="1"/>
  <c r="DA915" i="1"/>
  <c r="DB915" i="1"/>
  <c r="DC915" i="1"/>
  <c r="DD915" i="1"/>
  <c r="DE915" i="1"/>
  <c r="DF915" i="1"/>
  <c r="DG915" i="1"/>
  <c r="DH915" i="1"/>
  <c r="DI915" i="1"/>
  <c r="DA916" i="1"/>
  <c r="DB916" i="1"/>
  <c r="DC916" i="1"/>
  <c r="DD916" i="1"/>
  <c r="DE916" i="1"/>
  <c r="DF916" i="1"/>
  <c r="DG916" i="1"/>
  <c r="DH916" i="1"/>
  <c r="DI916" i="1"/>
  <c r="DA917" i="1"/>
  <c r="DB917" i="1"/>
  <c r="DC917" i="1"/>
  <c r="DD917" i="1"/>
  <c r="DE917" i="1"/>
  <c r="DF917" i="1"/>
  <c r="DG917" i="1"/>
  <c r="DH917" i="1"/>
  <c r="DI917" i="1"/>
  <c r="DA918" i="1"/>
  <c r="DB918" i="1"/>
  <c r="DC918" i="1"/>
  <c r="DD918" i="1"/>
  <c r="DE918" i="1"/>
  <c r="DF918" i="1"/>
  <c r="DG918" i="1"/>
  <c r="DH918" i="1"/>
  <c r="DI918" i="1"/>
  <c r="DA919" i="1"/>
  <c r="DB919" i="1"/>
  <c r="DC919" i="1"/>
  <c r="DD919" i="1"/>
  <c r="DE919" i="1"/>
  <c r="DF919" i="1"/>
  <c r="DG919" i="1"/>
  <c r="DH919" i="1"/>
  <c r="DI919" i="1"/>
  <c r="DA920" i="1"/>
  <c r="DB920" i="1"/>
  <c r="DC920" i="1"/>
  <c r="DD920" i="1"/>
  <c r="DE920" i="1"/>
  <c r="DF920" i="1"/>
  <c r="DG920" i="1"/>
  <c r="DH920" i="1"/>
  <c r="DI920" i="1"/>
  <c r="DA921" i="1"/>
  <c r="DB921" i="1"/>
  <c r="DC921" i="1"/>
  <c r="DD921" i="1"/>
  <c r="DE921" i="1"/>
  <c r="DF921" i="1"/>
  <c r="DG921" i="1"/>
  <c r="DH921" i="1"/>
  <c r="DI921" i="1"/>
  <c r="DA922" i="1"/>
  <c r="DB922" i="1"/>
  <c r="DC922" i="1"/>
  <c r="DD922" i="1"/>
  <c r="DE922" i="1"/>
  <c r="DF922" i="1"/>
  <c r="DG922" i="1"/>
  <c r="DH922" i="1"/>
  <c r="DI922" i="1"/>
  <c r="DA923" i="1"/>
  <c r="DB923" i="1"/>
  <c r="DC923" i="1"/>
  <c r="DD923" i="1"/>
  <c r="DE923" i="1"/>
  <c r="DF923" i="1"/>
  <c r="DG923" i="1"/>
  <c r="DH923" i="1"/>
  <c r="DI923" i="1"/>
  <c r="DA924" i="1"/>
  <c r="DB924" i="1"/>
  <c r="DC924" i="1"/>
  <c r="DD924" i="1"/>
  <c r="DE924" i="1"/>
  <c r="DF924" i="1"/>
  <c r="DG924" i="1"/>
  <c r="DH924" i="1"/>
  <c r="DI924" i="1"/>
  <c r="DA925" i="1"/>
  <c r="DB925" i="1"/>
  <c r="DC925" i="1"/>
  <c r="DD925" i="1"/>
  <c r="DE925" i="1"/>
  <c r="DF925" i="1"/>
  <c r="DG925" i="1"/>
  <c r="DH925" i="1"/>
  <c r="DI925" i="1"/>
  <c r="DA926" i="1"/>
  <c r="DB926" i="1"/>
  <c r="DC926" i="1"/>
  <c r="DD926" i="1"/>
  <c r="DE926" i="1"/>
  <c r="DF926" i="1"/>
  <c r="DG926" i="1"/>
  <c r="DH926" i="1"/>
  <c r="DI926" i="1"/>
  <c r="DA927" i="1"/>
  <c r="DB927" i="1"/>
  <c r="DC927" i="1"/>
  <c r="DD927" i="1"/>
  <c r="DE927" i="1"/>
  <c r="DF927" i="1"/>
  <c r="DG927" i="1"/>
  <c r="DH927" i="1"/>
  <c r="DI927" i="1"/>
  <c r="DA928" i="1"/>
  <c r="DB928" i="1"/>
  <c r="DC928" i="1"/>
  <c r="DD928" i="1"/>
  <c r="DE928" i="1"/>
  <c r="DF928" i="1"/>
  <c r="DG928" i="1"/>
  <c r="DH928" i="1"/>
  <c r="DI928" i="1"/>
  <c r="DA929" i="1"/>
  <c r="DB929" i="1"/>
  <c r="DC929" i="1"/>
  <c r="DD929" i="1"/>
  <c r="DE929" i="1"/>
  <c r="DF929" i="1"/>
  <c r="DG929" i="1"/>
  <c r="DH929" i="1"/>
  <c r="DI929" i="1"/>
  <c r="DA930" i="1"/>
  <c r="DB930" i="1"/>
  <c r="DC930" i="1"/>
  <c r="DD930" i="1"/>
  <c r="DE930" i="1"/>
  <c r="DF930" i="1"/>
  <c r="DG930" i="1"/>
  <c r="DH930" i="1"/>
  <c r="DI930" i="1"/>
  <c r="DA931" i="1"/>
  <c r="DB931" i="1"/>
  <c r="DC931" i="1"/>
  <c r="DD931" i="1"/>
  <c r="DE931" i="1"/>
  <c r="DF931" i="1"/>
  <c r="DG931" i="1"/>
  <c r="DH931" i="1"/>
  <c r="DI931" i="1"/>
  <c r="DA932" i="1"/>
  <c r="DB932" i="1"/>
  <c r="DC932" i="1"/>
  <c r="DD932" i="1"/>
  <c r="DE932" i="1"/>
  <c r="DF932" i="1"/>
  <c r="DG932" i="1"/>
  <c r="DH932" i="1"/>
  <c r="DI932" i="1"/>
  <c r="DA933" i="1"/>
  <c r="DB933" i="1"/>
  <c r="DC933" i="1"/>
  <c r="DD933" i="1"/>
  <c r="DE933" i="1"/>
  <c r="DF933" i="1"/>
  <c r="DG933" i="1"/>
  <c r="DH933" i="1"/>
  <c r="DI933" i="1"/>
  <c r="DA934" i="1"/>
  <c r="DB934" i="1"/>
  <c r="DC934" i="1"/>
  <c r="DD934" i="1"/>
  <c r="DE934" i="1"/>
  <c r="DF934" i="1"/>
  <c r="DG934" i="1"/>
  <c r="DH934" i="1"/>
  <c r="DI934" i="1"/>
  <c r="DA935" i="1"/>
  <c r="DB935" i="1"/>
  <c r="DC935" i="1"/>
  <c r="DD935" i="1"/>
  <c r="DE935" i="1"/>
  <c r="DF935" i="1"/>
  <c r="DG935" i="1"/>
  <c r="DH935" i="1"/>
  <c r="DI935" i="1"/>
  <c r="DA936" i="1"/>
  <c r="DB936" i="1"/>
  <c r="DC936" i="1"/>
  <c r="DD936" i="1"/>
  <c r="DE936" i="1"/>
  <c r="DF936" i="1"/>
  <c r="DG936" i="1"/>
  <c r="DH936" i="1"/>
  <c r="DI936" i="1"/>
  <c r="DA937" i="1"/>
  <c r="DB937" i="1"/>
  <c r="DC937" i="1"/>
  <c r="DD937" i="1"/>
  <c r="DE937" i="1"/>
  <c r="DF937" i="1"/>
  <c r="DG937" i="1"/>
  <c r="DH937" i="1"/>
  <c r="DI937" i="1"/>
  <c r="DA938" i="1"/>
  <c r="DB938" i="1"/>
  <c r="DC938" i="1"/>
  <c r="DD938" i="1"/>
  <c r="DE938" i="1"/>
  <c r="DF938" i="1"/>
  <c r="DG938" i="1"/>
  <c r="DH938" i="1"/>
  <c r="DI938" i="1"/>
  <c r="DA939" i="1"/>
  <c r="DB939" i="1"/>
  <c r="DC939" i="1"/>
  <c r="DD939" i="1"/>
  <c r="DE939" i="1"/>
  <c r="DF939" i="1"/>
  <c r="DG939" i="1"/>
  <c r="DH939" i="1"/>
  <c r="DI939" i="1"/>
  <c r="DA940" i="1"/>
  <c r="DB940" i="1"/>
  <c r="DC940" i="1"/>
  <c r="DD940" i="1"/>
  <c r="DE940" i="1"/>
  <c r="DF940" i="1"/>
  <c r="DG940" i="1"/>
  <c r="DH940" i="1"/>
  <c r="DI940" i="1"/>
  <c r="DA941" i="1"/>
  <c r="DB941" i="1"/>
  <c r="DC941" i="1"/>
  <c r="DD941" i="1"/>
  <c r="DE941" i="1"/>
  <c r="DF941" i="1"/>
  <c r="DG941" i="1"/>
  <c r="DH941" i="1"/>
  <c r="DI941" i="1"/>
  <c r="DA942" i="1"/>
  <c r="DB942" i="1"/>
  <c r="DC942" i="1"/>
  <c r="DD942" i="1"/>
  <c r="DE942" i="1"/>
  <c r="DF942" i="1"/>
  <c r="DG942" i="1"/>
  <c r="DH942" i="1"/>
  <c r="DI942" i="1"/>
  <c r="DA943" i="1"/>
  <c r="DB943" i="1"/>
  <c r="DC943" i="1"/>
  <c r="DD943" i="1"/>
  <c r="DE943" i="1"/>
  <c r="DF943" i="1"/>
  <c r="DG943" i="1"/>
  <c r="DH943" i="1"/>
  <c r="DI943" i="1"/>
  <c r="DA944" i="1"/>
  <c r="DB944" i="1"/>
  <c r="DC944" i="1"/>
  <c r="DD944" i="1"/>
  <c r="DE944" i="1"/>
  <c r="DF944" i="1"/>
  <c r="DG944" i="1"/>
  <c r="DH944" i="1"/>
  <c r="DI944" i="1"/>
  <c r="DA945" i="1"/>
  <c r="DB945" i="1"/>
  <c r="DC945" i="1"/>
  <c r="DD945" i="1"/>
  <c r="DE945" i="1"/>
  <c r="DF945" i="1"/>
  <c r="DG945" i="1"/>
  <c r="DH945" i="1"/>
  <c r="DI945" i="1"/>
  <c r="DA946" i="1"/>
  <c r="DB946" i="1"/>
  <c r="DC946" i="1"/>
  <c r="DD946" i="1"/>
  <c r="DE946" i="1"/>
  <c r="DF946" i="1"/>
  <c r="DG946" i="1"/>
  <c r="DH946" i="1"/>
  <c r="DI946" i="1"/>
  <c r="DA947" i="1"/>
  <c r="DB947" i="1"/>
  <c r="DC947" i="1"/>
  <c r="DD947" i="1"/>
  <c r="DE947" i="1"/>
  <c r="DF947" i="1"/>
  <c r="DG947" i="1"/>
  <c r="DH947" i="1"/>
  <c r="DI947" i="1"/>
  <c r="DA948" i="1"/>
  <c r="DB948" i="1"/>
  <c r="DC948" i="1"/>
  <c r="DD948" i="1"/>
  <c r="DE948" i="1"/>
  <c r="DF948" i="1"/>
  <c r="DG948" i="1"/>
  <c r="DH948" i="1"/>
  <c r="DI948" i="1"/>
  <c r="DA949" i="1"/>
  <c r="DB949" i="1"/>
  <c r="DC949" i="1"/>
  <c r="DD949" i="1"/>
  <c r="DE949" i="1"/>
  <c r="DF949" i="1"/>
  <c r="DG949" i="1"/>
  <c r="DH949" i="1"/>
  <c r="DI949" i="1"/>
  <c r="DA950" i="1"/>
  <c r="DB950" i="1"/>
  <c r="DC950" i="1"/>
  <c r="DD950" i="1"/>
  <c r="DE950" i="1"/>
  <c r="DF950" i="1"/>
  <c r="DG950" i="1"/>
  <c r="DH950" i="1"/>
  <c r="DI950" i="1"/>
  <c r="DA951" i="1"/>
  <c r="DB951" i="1"/>
  <c r="DC951" i="1"/>
  <c r="DD951" i="1"/>
  <c r="DE951" i="1"/>
  <c r="DF951" i="1"/>
  <c r="DG951" i="1"/>
  <c r="DH951" i="1"/>
  <c r="DI951" i="1"/>
  <c r="DA952" i="1"/>
  <c r="DB952" i="1"/>
  <c r="DC952" i="1"/>
  <c r="DD952" i="1"/>
  <c r="DE952" i="1"/>
  <c r="DF952" i="1"/>
  <c r="DG952" i="1"/>
  <c r="DH952" i="1"/>
  <c r="DI952" i="1"/>
  <c r="DA953" i="1"/>
  <c r="DB953" i="1"/>
  <c r="DC953" i="1"/>
  <c r="DD953" i="1"/>
  <c r="DE953" i="1"/>
  <c r="DF953" i="1"/>
  <c r="DG953" i="1"/>
  <c r="DH953" i="1"/>
  <c r="DI953" i="1"/>
  <c r="DA954" i="1"/>
  <c r="DB954" i="1"/>
  <c r="DC954" i="1"/>
  <c r="DD954" i="1"/>
  <c r="DE954" i="1"/>
  <c r="DF954" i="1"/>
  <c r="DG954" i="1"/>
  <c r="DH954" i="1"/>
  <c r="DI954" i="1"/>
  <c r="DA955" i="1"/>
  <c r="DB955" i="1"/>
  <c r="DC955" i="1"/>
  <c r="DD955" i="1"/>
  <c r="DE955" i="1"/>
  <c r="DF955" i="1"/>
  <c r="DG955" i="1"/>
  <c r="DH955" i="1"/>
  <c r="DI955" i="1"/>
  <c r="DA956" i="1"/>
  <c r="DB956" i="1"/>
  <c r="DC956" i="1"/>
  <c r="DD956" i="1"/>
  <c r="DE956" i="1"/>
  <c r="DF956" i="1"/>
  <c r="DG956" i="1"/>
  <c r="DH956" i="1"/>
  <c r="DI956" i="1"/>
  <c r="DA957" i="1"/>
  <c r="DB957" i="1"/>
  <c r="DC957" i="1"/>
  <c r="DD957" i="1"/>
  <c r="DE957" i="1"/>
  <c r="DF957" i="1"/>
  <c r="DG957" i="1"/>
  <c r="DH957" i="1"/>
  <c r="DI957" i="1"/>
  <c r="DA958" i="1"/>
  <c r="DB958" i="1"/>
  <c r="DC958" i="1"/>
  <c r="DD958" i="1"/>
  <c r="DE958" i="1"/>
  <c r="DF958" i="1"/>
  <c r="DG958" i="1"/>
  <c r="DH958" i="1"/>
  <c r="DI958" i="1"/>
  <c r="DA959" i="1"/>
  <c r="DB959" i="1"/>
  <c r="DC959" i="1"/>
  <c r="DD959" i="1"/>
  <c r="DE959" i="1"/>
  <c r="DF959" i="1"/>
  <c r="DG959" i="1"/>
  <c r="DH959" i="1"/>
  <c r="DI959" i="1"/>
  <c r="DA960" i="1"/>
  <c r="DB960" i="1"/>
  <c r="DC960" i="1"/>
  <c r="DD960" i="1"/>
  <c r="DE960" i="1"/>
  <c r="DF960" i="1"/>
  <c r="DG960" i="1"/>
  <c r="DH960" i="1"/>
  <c r="DI960" i="1"/>
  <c r="DA961" i="1"/>
  <c r="DB961" i="1"/>
  <c r="DC961" i="1"/>
  <c r="DD961" i="1"/>
  <c r="DE961" i="1"/>
  <c r="DF961" i="1"/>
  <c r="DG961" i="1"/>
  <c r="DH961" i="1"/>
  <c r="DI961" i="1"/>
  <c r="DA962" i="1"/>
  <c r="DB962" i="1"/>
  <c r="DC962" i="1"/>
  <c r="DD962" i="1"/>
  <c r="DE962" i="1"/>
  <c r="DF962" i="1"/>
  <c r="DG962" i="1"/>
  <c r="DH962" i="1"/>
  <c r="DI962" i="1"/>
  <c r="DA963" i="1"/>
  <c r="DB963" i="1"/>
  <c r="DC963" i="1"/>
  <c r="DD963" i="1"/>
  <c r="DE963" i="1"/>
  <c r="DF963" i="1"/>
  <c r="DG963" i="1"/>
  <c r="DH963" i="1"/>
  <c r="DI963" i="1"/>
  <c r="DA964" i="1"/>
  <c r="DB964" i="1"/>
  <c r="DC964" i="1"/>
  <c r="DD964" i="1"/>
  <c r="DE964" i="1"/>
  <c r="DF964" i="1"/>
  <c r="DG964" i="1"/>
  <c r="DH964" i="1"/>
  <c r="DI964" i="1"/>
  <c r="DA965" i="1"/>
  <c r="DB965" i="1"/>
  <c r="DC965" i="1"/>
  <c r="DD965" i="1"/>
  <c r="DE965" i="1"/>
  <c r="DF965" i="1"/>
  <c r="DG965" i="1"/>
  <c r="DH965" i="1"/>
  <c r="DI965" i="1"/>
  <c r="DA966" i="1"/>
  <c r="DB966" i="1"/>
  <c r="DC966" i="1"/>
  <c r="DD966" i="1"/>
  <c r="DE966" i="1"/>
  <c r="DF966" i="1"/>
  <c r="DG966" i="1"/>
  <c r="DH966" i="1"/>
  <c r="DI966" i="1"/>
  <c r="DA967" i="1"/>
  <c r="DB967" i="1"/>
  <c r="DC967" i="1"/>
  <c r="DD967" i="1"/>
  <c r="DE967" i="1"/>
  <c r="DF967" i="1"/>
  <c r="DG967" i="1"/>
  <c r="DH967" i="1"/>
  <c r="DI967" i="1"/>
  <c r="DA968" i="1"/>
  <c r="DB968" i="1"/>
  <c r="DC968" i="1"/>
  <c r="DD968" i="1"/>
  <c r="DE968" i="1"/>
  <c r="DF968" i="1"/>
  <c r="DG968" i="1"/>
  <c r="DH968" i="1"/>
  <c r="DI968" i="1"/>
  <c r="DA969" i="1"/>
  <c r="DB969" i="1"/>
  <c r="DC969" i="1"/>
  <c r="DD969" i="1"/>
  <c r="DE969" i="1"/>
  <c r="DF969" i="1"/>
  <c r="DG969" i="1"/>
  <c r="DH969" i="1"/>
  <c r="DI969" i="1"/>
  <c r="DA970" i="1"/>
  <c r="DB970" i="1"/>
  <c r="DC970" i="1"/>
  <c r="DD970" i="1"/>
  <c r="DE970" i="1"/>
  <c r="DF970" i="1"/>
  <c r="DG970" i="1"/>
  <c r="DH970" i="1"/>
  <c r="DI970" i="1"/>
  <c r="DA971" i="1"/>
  <c r="DB971" i="1"/>
  <c r="DC971" i="1"/>
  <c r="DD971" i="1"/>
  <c r="DE971" i="1"/>
  <c r="DF971" i="1"/>
  <c r="DG971" i="1"/>
  <c r="DH971" i="1"/>
  <c r="DI971" i="1"/>
  <c r="DA972" i="1"/>
  <c r="DB972" i="1"/>
  <c r="DC972" i="1"/>
  <c r="DD972" i="1"/>
  <c r="DE972" i="1"/>
  <c r="DF972" i="1"/>
  <c r="DG972" i="1"/>
  <c r="DH972" i="1"/>
  <c r="DI972" i="1"/>
  <c r="DA973" i="1"/>
  <c r="DB973" i="1"/>
  <c r="DC973" i="1"/>
  <c r="DD973" i="1"/>
  <c r="DE973" i="1"/>
  <c r="DF973" i="1"/>
  <c r="DG973" i="1"/>
  <c r="DH973" i="1"/>
  <c r="DI973" i="1"/>
  <c r="DA974" i="1"/>
  <c r="DB974" i="1"/>
  <c r="DC974" i="1"/>
  <c r="DD974" i="1"/>
  <c r="DE974" i="1"/>
  <c r="DF974" i="1"/>
  <c r="DG974" i="1"/>
  <c r="DH974" i="1"/>
  <c r="DI974" i="1"/>
  <c r="DA975" i="1"/>
  <c r="DB975" i="1"/>
  <c r="DC975" i="1"/>
  <c r="DD975" i="1"/>
  <c r="DE975" i="1"/>
  <c r="DF975" i="1"/>
  <c r="DG975" i="1"/>
  <c r="DH975" i="1"/>
  <c r="DI975" i="1"/>
  <c r="DA976" i="1"/>
  <c r="DB976" i="1"/>
  <c r="DC976" i="1"/>
  <c r="DD976" i="1"/>
  <c r="DE976" i="1"/>
  <c r="DF976" i="1"/>
  <c r="DG976" i="1"/>
  <c r="DH976" i="1"/>
  <c r="DI976" i="1"/>
  <c r="DA977" i="1"/>
  <c r="DB977" i="1"/>
  <c r="DC977" i="1"/>
  <c r="DD977" i="1"/>
  <c r="DE977" i="1"/>
  <c r="DF977" i="1"/>
  <c r="DG977" i="1"/>
  <c r="DH977" i="1"/>
  <c r="DI977" i="1"/>
  <c r="DA978" i="1"/>
  <c r="DB978" i="1"/>
  <c r="DC978" i="1"/>
  <c r="DD978" i="1"/>
  <c r="DE978" i="1"/>
  <c r="DF978" i="1"/>
  <c r="DG978" i="1"/>
  <c r="DH978" i="1"/>
  <c r="DI978" i="1"/>
  <c r="DA979" i="1"/>
  <c r="DB979" i="1"/>
  <c r="DC979" i="1"/>
  <c r="DD979" i="1"/>
  <c r="DE979" i="1"/>
  <c r="DF979" i="1"/>
  <c r="DG979" i="1"/>
  <c r="DH979" i="1"/>
  <c r="DI979" i="1"/>
  <c r="DA980" i="1"/>
  <c r="DB980" i="1"/>
  <c r="DC980" i="1"/>
  <c r="DD980" i="1"/>
  <c r="DE980" i="1"/>
  <c r="DF980" i="1"/>
  <c r="DG980" i="1"/>
  <c r="DH980" i="1"/>
  <c r="DI980" i="1"/>
  <c r="DA981" i="1"/>
  <c r="DB981" i="1"/>
  <c r="DC981" i="1"/>
  <c r="DD981" i="1"/>
  <c r="DE981" i="1"/>
  <c r="DF981" i="1"/>
  <c r="DG981" i="1"/>
  <c r="DH981" i="1"/>
  <c r="DI981" i="1"/>
  <c r="DA982" i="1"/>
  <c r="DB982" i="1"/>
  <c r="DC982" i="1"/>
  <c r="DD982" i="1"/>
  <c r="DE982" i="1"/>
  <c r="DF982" i="1"/>
  <c r="DG982" i="1"/>
  <c r="DH982" i="1"/>
  <c r="DI982" i="1"/>
  <c r="DA983" i="1"/>
  <c r="DB983" i="1"/>
  <c r="DC983" i="1"/>
  <c r="DD983" i="1"/>
  <c r="DE983" i="1"/>
  <c r="DF983" i="1"/>
  <c r="DG983" i="1"/>
  <c r="DH983" i="1"/>
  <c r="DI983" i="1"/>
  <c r="DA984" i="1"/>
  <c r="DB984" i="1"/>
  <c r="DC984" i="1"/>
  <c r="DD984" i="1"/>
  <c r="DE984" i="1"/>
  <c r="DF984" i="1"/>
  <c r="DG984" i="1"/>
  <c r="DH984" i="1"/>
  <c r="DI984" i="1"/>
  <c r="DA985" i="1"/>
  <c r="DB985" i="1"/>
  <c r="DC985" i="1"/>
  <c r="DD985" i="1"/>
  <c r="DE985" i="1"/>
  <c r="DF985" i="1"/>
  <c r="DG985" i="1"/>
  <c r="DH985" i="1"/>
  <c r="DI985" i="1"/>
  <c r="DA986" i="1"/>
  <c r="DB986" i="1"/>
  <c r="DC986" i="1"/>
  <c r="DD986" i="1"/>
  <c r="DE986" i="1"/>
  <c r="DF986" i="1"/>
  <c r="DG986" i="1"/>
  <c r="DH986" i="1"/>
  <c r="DI986" i="1"/>
  <c r="DA987" i="1"/>
  <c r="DB987" i="1"/>
  <c r="DC987" i="1"/>
  <c r="DD987" i="1"/>
  <c r="DE987" i="1"/>
  <c r="DF987" i="1"/>
  <c r="DG987" i="1"/>
  <c r="DH987" i="1"/>
  <c r="DI987" i="1"/>
  <c r="DA988" i="1"/>
  <c r="DB988" i="1"/>
  <c r="DC988" i="1"/>
  <c r="DD988" i="1"/>
  <c r="DE988" i="1"/>
  <c r="DF988" i="1"/>
  <c r="DG988" i="1"/>
  <c r="DH988" i="1"/>
  <c r="DI988" i="1"/>
  <c r="DA989" i="1"/>
  <c r="DB989" i="1"/>
  <c r="DC989" i="1"/>
  <c r="DD989" i="1"/>
  <c r="DE989" i="1"/>
  <c r="DF989" i="1"/>
  <c r="DG989" i="1"/>
  <c r="DH989" i="1"/>
  <c r="DI989" i="1"/>
  <c r="DA990" i="1"/>
  <c r="DB990" i="1"/>
  <c r="DC990" i="1"/>
  <c r="DD990" i="1"/>
  <c r="DE990" i="1"/>
  <c r="DF990" i="1"/>
  <c r="DG990" i="1"/>
  <c r="DH990" i="1"/>
  <c r="DI990" i="1"/>
  <c r="DA991" i="1"/>
  <c r="DB991" i="1"/>
  <c r="DC991" i="1"/>
  <c r="DD991" i="1"/>
  <c r="DE991" i="1"/>
  <c r="DF991" i="1"/>
  <c r="DG991" i="1"/>
  <c r="DH991" i="1"/>
  <c r="DI991" i="1"/>
  <c r="DA992" i="1"/>
  <c r="DB992" i="1"/>
  <c r="DC992" i="1"/>
  <c r="DD992" i="1"/>
  <c r="DE992" i="1"/>
  <c r="DF992" i="1"/>
  <c r="DG992" i="1"/>
  <c r="DH992" i="1"/>
  <c r="DI992" i="1"/>
  <c r="DA993" i="1"/>
  <c r="DB993" i="1"/>
  <c r="DC993" i="1"/>
  <c r="DD993" i="1"/>
  <c r="DE993" i="1"/>
  <c r="DF993" i="1"/>
  <c r="DG993" i="1"/>
  <c r="DH993" i="1"/>
  <c r="DI993" i="1"/>
  <c r="DA994" i="1"/>
  <c r="DB994" i="1"/>
  <c r="DC994" i="1"/>
  <c r="DD994" i="1"/>
  <c r="DE994" i="1"/>
  <c r="DF994" i="1"/>
  <c r="DG994" i="1"/>
  <c r="DH994" i="1"/>
  <c r="DI994" i="1"/>
  <c r="DA995" i="1"/>
  <c r="DB995" i="1"/>
  <c r="DC995" i="1"/>
  <c r="DD995" i="1"/>
  <c r="DE995" i="1"/>
  <c r="DF995" i="1"/>
  <c r="DG995" i="1"/>
  <c r="DH995" i="1"/>
  <c r="DI995" i="1"/>
  <c r="DA996" i="1"/>
  <c r="DB996" i="1"/>
  <c r="DC996" i="1"/>
  <c r="DD996" i="1"/>
  <c r="DE996" i="1"/>
  <c r="DF996" i="1"/>
  <c r="DG996" i="1"/>
  <c r="DH996" i="1"/>
  <c r="DI996" i="1"/>
  <c r="DA997" i="1"/>
  <c r="DB997" i="1"/>
  <c r="DC997" i="1"/>
  <c r="DD997" i="1"/>
  <c r="DE997" i="1"/>
  <c r="DF997" i="1"/>
  <c r="DG997" i="1"/>
  <c r="DH997" i="1"/>
  <c r="DI997" i="1"/>
  <c r="DA998" i="1"/>
  <c r="DB998" i="1"/>
  <c r="DC998" i="1"/>
  <c r="DD998" i="1"/>
  <c r="DE998" i="1"/>
  <c r="DF998" i="1"/>
  <c r="DG998" i="1"/>
  <c r="DH998" i="1"/>
  <c r="DI998" i="1"/>
  <c r="DA999" i="1"/>
  <c r="DB999" i="1"/>
  <c r="DC999" i="1"/>
  <c r="DD999" i="1"/>
  <c r="DE999" i="1"/>
  <c r="DF999" i="1"/>
  <c r="DG999" i="1"/>
  <c r="DH999" i="1"/>
  <c r="DI999" i="1"/>
  <c r="DA1000" i="1"/>
  <c r="DB1000" i="1"/>
  <c r="DC1000" i="1"/>
  <c r="DD1000" i="1"/>
  <c r="DE1000" i="1"/>
  <c r="DF1000" i="1"/>
  <c r="DG1000" i="1"/>
  <c r="DH1000" i="1"/>
  <c r="DI1000" i="1"/>
  <c r="DA1001" i="1"/>
  <c r="DB1001" i="1"/>
  <c r="DC1001" i="1"/>
  <c r="DD1001" i="1"/>
  <c r="DE1001" i="1"/>
  <c r="DF1001" i="1"/>
  <c r="DG1001" i="1"/>
  <c r="DH1001" i="1"/>
  <c r="DI1001" i="1"/>
  <c r="DB2" i="1"/>
  <c r="DC2" i="1"/>
  <c r="DD2" i="1"/>
  <c r="DE2" i="1"/>
  <c r="DF2" i="1"/>
  <c r="DG2" i="1"/>
  <c r="DH2" i="1"/>
  <c r="DI2" i="1"/>
  <c r="DA2" i="1"/>
  <c r="BA31" i="1"/>
  <c r="O6" i="1" s="1"/>
  <c r="AZ31" i="1"/>
  <c r="P6" i="1" s="1"/>
  <c r="AY31" i="1"/>
  <c r="BB31" i="1"/>
  <c r="H34" i="1" s="1"/>
  <c r="AM3" i="1"/>
  <c r="AN3" i="1"/>
  <c r="AO3" i="1"/>
  <c r="AP3" i="1"/>
  <c r="AQ3" i="1"/>
  <c r="AM4" i="1"/>
  <c r="AN4" i="1"/>
  <c r="AO4" i="1"/>
  <c r="AP4" i="1"/>
  <c r="AQ4" i="1"/>
  <c r="AM5" i="1"/>
  <c r="AN5" i="1"/>
  <c r="AO5" i="1"/>
  <c r="AP5" i="1"/>
  <c r="AQ5" i="1"/>
  <c r="AM6" i="1"/>
  <c r="AN6" i="1"/>
  <c r="AO6" i="1"/>
  <c r="AP6" i="1"/>
  <c r="AQ6" i="1"/>
  <c r="AM7" i="1"/>
  <c r="AO7" i="1"/>
  <c r="AP7" i="1"/>
  <c r="AQ7" i="1"/>
  <c r="AM8" i="1"/>
  <c r="AN8" i="1"/>
  <c r="AO8" i="1"/>
  <c r="AP8" i="1"/>
  <c r="AQ8" i="1"/>
  <c r="AM9" i="1"/>
  <c r="AN9" i="1"/>
  <c r="AO9" i="1"/>
  <c r="AP9" i="1"/>
  <c r="AQ9" i="1"/>
  <c r="AM10" i="1"/>
  <c r="AN10" i="1"/>
  <c r="AO10" i="1"/>
  <c r="AP10" i="1"/>
  <c r="AQ10" i="1"/>
  <c r="AM11" i="1"/>
  <c r="AN11" i="1"/>
  <c r="AO11" i="1"/>
  <c r="AP11" i="1"/>
  <c r="AQ11" i="1"/>
  <c r="AM12" i="1"/>
  <c r="AN12" i="1"/>
  <c r="AO12" i="1"/>
  <c r="AP12" i="1"/>
  <c r="AQ12" i="1"/>
  <c r="AM13" i="1"/>
  <c r="AN13" i="1"/>
  <c r="AO13" i="1"/>
  <c r="AP13" i="1"/>
  <c r="AQ13" i="1"/>
  <c r="AM14" i="1"/>
  <c r="AN14" i="1"/>
  <c r="AO14" i="1"/>
  <c r="AP14" i="1"/>
  <c r="AQ14" i="1"/>
  <c r="AM15" i="1"/>
  <c r="AN15" i="1"/>
  <c r="AO15" i="1"/>
  <c r="AP15" i="1"/>
  <c r="AQ15" i="1"/>
  <c r="AM16" i="1"/>
  <c r="AN16" i="1"/>
  <c r="AO16" i="1"/>
  <c r="AP16" i="1"/>
  <c r="AQ16" i="1"/>
  <c r="AM17" i="1"/>
  <c r="AN17" i="1"/>
  <c r="AO17" i="1"/>
  <c r="AP17" i="1"/>
  <c r="AQ17" i="1"/>
  <c r="AM18" i="1"/>
  <c r="AN18" i="1"/>
  <c r="AO18" i="1"/>
  <c r="AP18" i="1"/>
  <c r="AQ18" i="1"/>
  <c r="AM19" i="1"/>
  <c r="AN19" i="1"/>
  <c r="AO19" i="1"/>
  <c r="AP19" i="1"/>
  <c r="AQ19" i="1"/>
  <c r="AM20" i="1"/>
  <c r="AN20" i="1"/>
  <c r="AO20" i="1"/>
  <c r="AP20" i="1"/>
  <c r="AQ20" i="1"/>
  <c r="AM21" i="1"/>
  <c r="AN21" i="1"/>
  <c r="AO21" i="1"/>
  <c r="AP21" i="1"/>
  <c r="AQ21" i="1"/>
  <c r="AM22" i="1"/>
  <c r="AN22" i="1"/>
  <c r="AO22" i="1"/>
  <c r="AP22" i="1"/>
  <c r="AQ22" i="1"/>
  <c r="AM23" i="1"/>
  <c r="AN23" i="1"/>
  <c r="AO23" i="1"/>
  <c r="AP23" i="1"/>
  <c r="AQ23" i="1"/>
  <c r="AM24" i="1"/>
  <c r="AN24" i="1"/>
  <c r="AO24" i="1"/>
  <c r="AP24" i="1"/>
  <c r="AQ24" i="1"/>
  <c r="AM25" i="1"/>
  <c r="AN25" i="1"/>
  <c r="AO25" i="1"/>
  <c r="AP25" i="1"/>
  <c r="AQ25" i="1"/>
  <c r="AM26" i="1"/>
  <c r="AN26" i="1"/>
  <c r="AO26" i="1"/>
  <c r="AP26" i="1"/>
  <c r="AQ26" i="1"/>
  <c r="AM27" i="1"/>
  <c r="AN27" i="1"/>
  <c r="AO27" i="1"/>
  <c r="AP27" i="1"/>
  <c r="AQ27" i="1"/>
  <c r="AM28" i="1"/>
  <c r="AN28" i="1"/>
  <c r="AO28" i="1"/>
  <c r="AP28" i="1"/>
  <c r="AQ28" i="1"/>
  <c r="AM29" i="1"/>
  <c r="AN29" i="1"/>
  <c r="AO29" i="1"/>
  <c r="AP29" i="1"/>
  <c r="AQ29" i="1"/>
  <c r="AM30" i="1"/>
  <c r="AN30" i="1"/>
  <c r="AO30" i="1"/>
  <c r="AP30" i="1"/>
  <c r="AQ30" i="1"/>
  <c r="AM31" i="1"/>
  <c r="AN31" i="1"/>
  <c r="AO31" i="1"/>
  <c r="AP31" i="1"/>
  <c r="AQ31" i="1"/>
  <c r="AM32" i="1"/>
  <c r="AN32" i="1"/>
  <c r="AO32" i="1"/>
  <c r="AP32" i="1"/>
  <c r="AQ32" i="1"/>
  <c r="AM33" i="1"/>
  <c r="AN33" i="1"/>
  <c r="AO33" i="1"/>
  <c r="AP33" i="1"/>
  <c r="AQ33" i="1"/>
  <c r="AM34" i="1"/>
  <c r="AN34" i="1"/>
  <c r="AO34" i="1"/>
  <c r="AP34" i="1"/>
  <c r="AQ34" i="1"/>
  <c r="AM35" i="1"/>
  <c r="AN35" i="1"/>
  <c r="AO35" i="1"/>
  <c r="AP35" i="1"/>
  <c r="AQ35" i="1"/>
  <c r="AM36" i="1"/>
  <c r="AN36" i="1"/>
  <c r="AO36" i="1"/>
  <c r="AP36" i="1"/>
  <c r="AQ36" i="1"/>
  <c r="AM37" i="1"/>
  <c r="AN37" i="1"/>
  <c r="AO37" i="1"/>
  <c r="AP37" i="1"/>
  <c r="AQ37" i="1"/>
  <c r="AM38" i="1"/>
  <c r="AN38" i="1"/>
  <c r="AO38" i="1"/>
  <c r="AP38" i="1"/>
  <c r="AQ38" i="1"/>
  <c r="AM39" i="1"/>
  <c r="AN39" i="1"/>
  <c r="AO39" i="1"/>
  <c r="AP39" i="1"/>
  <c r="AQ39" i="1"/>
  <c r="AM40" i="1"/>
  <c r="AN40" i="1"/>
  <c r="AO40" i="1"/>
  <c r="AP40" i="1"/>
  <c r="AQ40" i="1"/>
  <c r="AM41" i="1"/>
  <c r="AN41" i="1"/>
  <c r="AO41" i="1"/>
  <c r="AP41" i="1"/>
  <c r="AQ41" i="1"/>
  <c r="AM42" i="1"/>
  <c r="AN42" i="1"/>
  <c r="AO42" i="1"/>
  <c r="AP42" i="1"/>
  <c r="AQ42" i="1"/>
  <c r="AM43" i="1"/>
  <c r="AN43" i="1"/>
  <c r="AO43" i="1"/>
  <c r="AP43" i="1"/>
  <c r="AQ43" i="1"/>
  <c r="AM44" i="1"/>
  <c r="AN44" i="1"/>
  <c r="AO44" i="1"/>
  <c r="AP44" i="1"/>
  <c r="AQ44" i="1"/>
  <c r="AM45" i="1"/>
  <c r="AN45" i="1"/>
  <c r="AO45" i="1"/>
  <c r="AP45" i="1"/>
  <c r="AQ45" i="1"/>
  <c r="AM46" i="1"/>
  <c r="AN46" i="1"/>
  <c r="AO46" i="1"/>
  <c r="AP46" i="1"/>
  <c r="AQ46" i="1"/>
  <c r="AM47" i="1"/>
  <c r="AN47" i="1"/>
  <c r="AO47" i="1"/>
  <c r="AP47" i="1"/>
  <c r="AQ47" i="1"/>
  <c r="AM48" i="1"/>
  <c r="AN48" i="1"/>
  <c r="AO48" i="1"/>
  <c r="AP48" i="1"/>
  <c r="AQ48" i="1"/>
  <c r="AM49" i="1"/>
  <c r="AN49" i="1"/>
  <c r="AO49" i="1"/>
  <c r="AP49" i="1"/>
  <c r="AQ49" i="1"/>
  <c r="AM50" i="1"/>
  <c r="AN50" i="1"/>
  <c r="AO50" i="1"/>
  <c r="AP50" i="1"/>
  <c r="AQ50" i="1"/>
  <c r="AM51" i="1"/>
  <c r="AN51" i="1"/>
  <c r="AO51" i="1"/>
  <c r="AP51" i="1"/>
  <c r="AQ51" i="1"/>
  <c r="AM52" i="1"/>
  <c r="AN52" i="1"/>
  <c r="AO52" i="1"/>
  <c r="AP52" i="1"/>
  <c r="AQ52" i="1"/>
  <c r="AM53" i="1"/>
  <c r="AN53" i="1"/>
  <c r="AO53" i="1"/>
  <c r="AP53" i="1"/>
  <c r="AQ53" i="1"/>
  <c r="AM54" i="1"/>
  <c r="AN54" i="1"/>
  <c r="AO54" i="1"/>
  <c r="AP54" i="1"/>
  <c r="AQ54" i="1"/>
  <c r="AM55" i="1"/>
  <c r="AN55" i="1"/>
  <c r="AO55" i="1"/>
  <c r="AP55" i="1"/>
  <c r="AQ55" i="1"/>
  <c r="AM56" i="1"/>
  <c r="AN56" i="1"/>
  <c r="AO56" i="1"/>
  <c r="AP56" i="1"/>
  <c r="AQ56" i="1"/>
  <c r="AM57" i="1"/>
  <c r="AN57" i="1"/>
  <c r="AO57" i="1"/>
  <c r="AP57" i="1"/>
  <c r="AQ57" i="1"/>
  <c r="AM58" i="1"/>
  <c r="AN58" i="1"/>
  <c r="AO58" i="1"/>
  <c r="AP58" i="1"/>
  <c r="AQ58" i="1"/>
  <c r="AM59" i="1"/>
  <c r="AN59" i="1"/>
  <c r="AO59" i="1"/>
  <c r="AP59" i="1"/>
  <c r="AQ59" i="1"/>
  <c r="AM60" i="1"/>
  <c r="AN60" i="1"/>
  <c r="AO60" i="1"/>
  <c r="AP60" i="1"/>
  <c r="AQ60" i="1"/>
  <c r="AM61" i="1"/>
  <c r="AN61" i="1"/>
  <c r="AO61" i="1"/>
  <c r="AP61" i="1"/>
  <c r="AQ61" i="1"/>
  <c r="AM62" i="1"/>
  <c r="AN62" i="1"/>
  <c r="AO62" i="1"/>
  <c r="AP62" i="1"/>
  <c r="AQ62" i="1"/>
  <c r="AM63" i="1"/>
  <c r="AN63" i="1"/>
  <c r="AO63" i="1"/>
  <c r="AP63" i="1"/>
  <c r="AQ63" i="1"/>
  <c r="AM64" i="1"/>
  <c r="AN64" i="1"/>
  <c r="AO64" i="1"/>
  <c r="AP64" i="1"/>
  <c r="AQ64" i="1"/>
  <c r="AM65" i="1"/>
  <c r="AN65" i="1"/>
  <c r="AO65" i="1"/>
  <c r="AP65" i="1"/>
  <c r="AQ65" i="1"/>
  <c r="AM66" i="1"/>
  <c r="AN66" i="1"/>
  <c r="AO66" i="1"/>
  <c r="AP66" i="1"/>
  <c r="AQ66" i="1"/>
  <c r="AM67" i="1"/>
  <c r="AN67" i="1"/>
  <c r="AO67" i="1"/>
  <c r="AP67" i="1"/>
  <c r="AQ67" i="1"/>
  <c r="AM68" i="1"/>
  <c r="AN68" i="1"/>
  <c r="AO68" i="1"/>
  <c r="AP68" i="1"/>
  <c r="AQ68" i="1"/>
  <c r="AM69" i="1"/>
  <c r="AN69" i="1"/>
  <c r="AO69" i="1"/>
  <c r="AP69" i="1"/>
  <c r="AQ69" i="1"/>
  <c r="AM70" i="1"/>
  <c r="AN70" i="1"/>
  <c r="AO70" i="1"/>
  <c r="AP70" i="1"/>
  <c r="AQ70" i="1"/>
  <c r="AM71" i="1"/>
  <c r="AN71" i="1"/>
  <c r="AO71" i="1"/>
  <c r="AP71" i="1"/>
  <c r="AQ71" i="1"/>
  <c r="AM72" i="1"/>
  <c r="AN72" i="1"/>
  <c r="AO72" i="1"/>
  <c r="AP72" i="1"/>
  <c r="AQ72" i="1"/>
  <c r="AM73" i="1"/>
  <c r="AN73" i="1"/>
  <c r="AO73" i="1"/>
  <c r="AP73" i="1"/>
  <c r="AQ7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3" i="1"/>
  <c r="BV2" i="1"/>
  <c r="D7" i="1" s="1"/>
  <c r="O8" i="1" s="1"/>
  <c r="AD9" i="1" a="1"/>
  <c r="BQ21" i="1" l="1"/>
  <c r="BQ20" i="1"/>
  <c r="BD31" i="1"/>
  <c r="J34" i="1" s="1"/>
  <c r="BG31" i="1"/>
  <c r="M34" i="1" s="1"/>
  <c r="BC31" i="1"/>
  <c r="I34" i="1" s="1"/>
  <c r="BF31" i="1"/>
  <c r="L34" i="1" s="1"/>
  <c r="BE31" i="1"/>
  <c r="K34" i="1" s="1"/>
  <c r="AL75" i="1"/>
  <c r="AN75" i="1"/>
  <c r="AQ75" i="1"/>
  <c r="AM75" i="1"/>
  <c r="AO75" i="1"/>
  <c r="AP75" i="1"/>
  <c r="AD9" i="1"/>
  <c r="BR18" i="1"/>
  <c r="BS18" i="1"/>
  <c r="BR19" i="1"/>
  <c r="BS19" i="1"/>
  <c r="BQ19" i="1" l="1"/>
  <c r="BQ18" i="1"/>
  <c r="BS3" i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R4" i="1"/>
  <c r="BR5" i="1"/>
  <c r="BR6" i="1"/>
  <c r="BR7" i="1"/>
  <c r="BR8" i="1"/>
  <c r="BR9" i="1"/>
  <c r="BR10" i="1"/>
  <c r="BR11" i="1"/>
  <c r="BR12" i="1"/>
  <c r="BR13" i="1"/>
  <c r="BR14" i="1"/>
  <c r="BR15" i="1"/>
  <c r="BR16" i="1"/>
  <c r="BR17" i="1"/>
  <c r="BR3" i="1"/>
  <c r="AE32" i="1"/>
  <c r="AE16" i="1"/>
  <c r="BQ17" i="1" l="1"/>
  <c r="BQ16" i="1"/>
  <c r="BQ15" i="1"/>
  <c r="BQ14" i="1"/>
  <c r="BQ13" i="1"/>
  <c r="BQ12" i="1"/>
  <c r="BQ11" i="1"/>
  <c r="BQ10" i="1"/>
  <c r="BQ9" i="1"/>
  <c r="BQ8" i="1"/>
  <c r="BQ7" i="1"/>
  <c r="BQ6" i="1"/>
  <c r="BQ5" i="1"/>
  <c r="BQ4" i="1"/>
  <c r="BQ3" i="1"/>
  <c r="BW3" i="1" l="1"/>
  <c r="AH2" i="1"/>
  <c r="AD3" i="1"/>
  <c r="AG4" i="1"/>
  <c r="AI5" i="1"/>
  <c r="AE5" i="1"/>
  <c r="AD2" i="1"/>
  <c r="AF2" i="1"/>
  <c r="AH3" i="1"/>
  <c r="AD4" i="1"/>
  <c r="AF4" i="1"/>
  <c r="AH5" i="1"/>
  <c r="AI2" i="1"/>
  <c r="AE2" i="1"/>
  <c r="AG3" i="1"/>
  <c r="AI4" i="1"/>
  <c r="AE4" i="1"/>
  <c r="AG5" i="1"/>
  <c r="AF3" i="1"/>
  <c r="AH4" i="1"/>
  <c r="AD5" i="1"/>
  <c r="AF5" i="1"/>
  <c r="AG2" i="1"/>
  <c r="AI3" i="1"/>
  <c r="AE3" i="1"/>
  <c r="AD27" i="1" l="1" a="1"/>
  <c r="AD27" i="1" s="1"/>
  <c r="AD28" i="1" s="1"/>
  <c r="AD42" i="1" a="1"/>
  <c r="AD42" i="1" s="1"/>
  <c r="AD26" i="1" l="1" a="1"/>
  <c r="AD26" i="1" s="1"/>
  <c r="AD29" i="1" s="1"/>
  <c r="AD43" i="1" a="1"/>
  <c r="AD43" i="1" s="1"/>
  <c r="AD44" i="1" s="1"/>
  <c r="AE39" i="1"/>
  <c r="AE23" i="1"/>
  <c r="AD45" i="1" l="1"/>
  <c r="P7" i="1" l="1"/>
  <c r="BB35" i="1"/>
  <c r="J33" i="1" s="1"/>
  <c r="BA35" i="1" l="1"/>
  <c r="I33" i="1" s="1"/>
  <c r="O7" i="1"/>
  <c r="BC35" i="1"/>
  <c r="K33" i="1" s="1"/>
  <c r="BD35" i="1"/>
  <c r="L33" i="1" s="1"/>
  <c r="AZ35" i="1"/>
  <c r="H33" i="1" s="1"/>
  <c r="BE35" i="1"/>
  <c r="M3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<sst xmlns="http://schemas.openxmlformats.org/spreadsheetml/2006/main" count="190" uniqueCount="54">
  <si>
    <t>Stock1</t>
  </si>
  <si>
    <t>Stock2</t>
  </si>
  <si>
    <t>Stock3</t>
  </si>
  <si>
    <t>Stock4</t>
  </si>
  <si>
    <t>Stock5</t>
  </si>
  <si>
    <t>Stock6</t>
  </si>
  <si>
    <t>Mean</t>
  </si>
  <si>
    <t>Median</t>
  </si>
  <si>
    <t>Standard Deviation</t>
  </si>
  <si>
    <t>Variance</t>
  </si>
  <si>
    <t>Var-Covar Matrix</t>
  </si>
  <si>
    <t>Sum ---&gt;</t>
  </si>
  <si>
    <t>Portfolio Standard Deviation</t>
  </si>
  <si>
    <t>Theta = (Mean - Constant)/Sigma</t>
  </si>
  <si>
    <t>Portfolio Variance</t>
  </si>
  <si>
    <t>Portfolio Return</t>
  </si>
  <si>
    <t>Risk-Free Rate</t>
  </si>
  <si>
    <t>Risk-Free Rate p.m.</t>
  </si>
  <si>
    <t>Sharpe</t>
  </si>
  <si>
    <t>Inputs for Automating the User Interface</t>
  </si>
  <si>
    <t>Value for Efficient Frontier with Short Selling</t>
  </si>
  <si>
    <t>Value for Risk Free Rate</t>
  </si>
  <si>
    <t>Return</t>
  </si>
  <si>
    <t>Risk</t>
  </si>
  <si>
    <t>Tangent Point</t>
  </si>
  <si>
    <t>Number of Portfolios</t>
  </si>
  <si>
    <t>Optimal Portfolio Weights</t>
  </si>
  <si>
    <t>Risk-Free Rate per Month</t>
  </si>
  <si>
    <t>By Akhileshwaran Bharatarajan</t>
  </si>
  <si>
    <t>Student Number - S4025897</t>
  </si>
  <si>
    <t>Portfolio Optimization Including Short Sales</t>
  </si>
  <si>
    <t>Portfolio Optimization Excluding Short Sales</t>
  </si>
  <si>
    <t>Global Minimum Variance Portfolio Including Short Sales</t>
  </si>
  <si>
    <t>Global Minimum Variance Portfolio Excluding Short Sales</t>
  </si>
  <si>
    <t>Sharpe Ratio</t>
  </si>
  <si>
    <t>Global Minimum Variance Portfolio</t>
  </si>
  <si>
    <t>Tangent Portfolio</t>
  </si>
  <si>
    <t>Risk-Free Asset</t>
  </si>
  <si>
    <t>Number of Simulated Portfolios</t>
  </si>
  <si>
    <t>Portfolios allowing short sales</t>
  </si>
  <si>
    <t>Portfolios not allowing short sales</t>
  </si>
  <si>
    <t>Random Portfolios without short sale ---&gt;</t>
  </si>
  <si>
    <t>Random Portfolios with short sale ---&gt;</t>
  </si>
  <si>
    <t>Rough Work - Please Ignore</t>
  </si>
  <si>
    <t>Optimal Portfolio Selection</t>
  </si>
  <si>
    <t>Global Minimum Variance Portfolio Graph Projection</t>
  </si>
  <si>
    <t>Summary Statistics</t>
  </si>
  <si>
    <t>Tangent Portfolio Weights Graph Projection</t>
  </si>
  <si>
    <t>Random Portfolios Graph Projection---&gt;</t>
  </si>
  <si>
    <t>Portfolio Optimization</t>
  </si>
  <si>
    <t>When Risk-Free Rate is 0.2%</t>
  </si>
  <si>
    <t>Without Short Selling</t>
  </si>
  <si>
    <t>With Short Selling</t>
  </si>
  <si>
    <t>Returns ---&gt;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</si>
</sst>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"/>
    <numFmt numFmtId="166" formatCode="0.0%"/>
    <numFmt numFmtId="167" formatCode="0.0"/>
    <numFmt numFmtId="168" formatCode="0.00000000000000"/>
    <numFmt numFmtId="169" formatCode="0.00000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theme="1"/>
      <name val="Times New Roman"/>
      <family val="1"/>
    </font>
    <font>
      <b/>
      <u/>
      <sz val="16"/>
      <color theme="1"/>
      <name val="Times New Roman"/>
      <family val="1"/>
    </font>
    <font>
      <sz val="11"/>
      <color rgb="FF000000"/>
      <name val="Times New Roman"/>
      <family val="1"/>
    </font>
    <font>
      <b/>
      <sz val="14"/>
      <color theme="0"/>
      <name val="Times New Roman"/>
      <family val="1"/>
    </font>
    <font>
      <b/>
      <sz val="11"/>
      <color theme="1" tint="4.9989318521683403E-2"/>
      <name val="Times New Roman"/>
      <family val="1"/>
    </font>
    <font>
      <b/>
      <i/>
      <u/>
      <sz val="16"/>
      <color theme="1"/>
      <name val="Times New Roman"/>
      <family val="1"/>
    </font>
    <font>
      <b/>
      <i/>
      <u/>
      <sz val="22"/>
      <color theme="1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50">
    <xf numFmtId="0" fontId="0" fillId="0" borderId="0" xfId="0"/>
    <xf numFmtId="0" fontId="2" fillId="0" borderId="0" xfId="0" applyFont="1" applyAlignment="1">
      <alignment horizontal="right"/>
    </xf>
    <xf numFmtId="10" fontId="2" fillId="0" borderId="0" xfId="1" applyNumberFormat="1" applyFont="1" applyAlignment="1">
      <alignment horizontal="right"/>
    </xf>
    <xf numFmtId="0" fontId="2" fillId="2" borderId="0" xfId="0" applyFont="1" applyFill="1" applyAlignment="1">
      <alignment horizontal="right"/>
    </xf>
    <xf numFmtId="0" fontId="6" fillId="3" borderId="0" xfId="0" applyFont="1" applyFill="1" applyAlignment="1">
      <alignment horizontal="center"/>
    </xf>
    <xf numFmtId="0" fontId="8" fillId="4" borderId="1" xfId="0" applyFont="1" applyFill="1" applyBorder="1" applyAlignment="1">
      <alignment horizontal="right"/>
    </xf>
    <xf numFmtId="10" fontId="8" fillId="4" borderId="1" xfId="0" applyNumberFormat="1" applyFont="1" applyFill="1" applyBorder="1" applyAlignment="1">
      <alignment horizontal="right"/>
    </xf>
    <xf numFmtId="9" fontId="8" fillId="4" borderId="1" xfId="0" applyNumberFormat="1" applyFont="1" applyFill="1" applyBorder="1" applyAlignment="1">
      <alignment horizontal="right"/>
    </xf>
    <xf numFmtId="0" fontId="6" fillId="3" borderId="0" xfId="0" applyFont="1" applyFill="1"/>
    <xf numFmtId="0" fontId="5" fillId="3" borderId="0" xfId="0" applyFont="1" applyFill="1"/>
    <xf numFmtId="0" fontId="2" fillId="5" borderId="0" xfId="0" applyFont="1" applyFill="1" applyAlignment="1">
      <alignment horizontal="right"/>
    </xf>
    <xf numFmtId="0" fontId="9" fillId="6" borderId="1" xfId="0" applyFont="1" applyFill="1" applyBorder="1" applyAlignment="1">
      <alignment horizontal="right"/>
    </xf>
    <xf numFmtId="0" fontId="9" fillId="6" borderId="6" xfId="0" applyFont="1" applyFill="1" applyBorder="1" applyAlignment="1">
      <alignment horizontal="right"/>
    </xf>
    <xf numFmtId="10" fontId="9" fillId="6" borderId="1" xfId="0" applyNumberFormat="1" applyFont="1" applyFill="1" applyBorder="1" applyAlignment="1">
      <alignment horizontal="right"/>
    </xf>
    <xf numFmtId="0" fontId="10" fillId="3" borderId="0" xfId="0" applyFont="1" applyFill="1"/>
    <xf numFmtId="0" fontId="2" fillId="7" borderId="1" xfId="0" applyFont="1" applyFill="1" applyBorder="1" applyAlignment="1">
      <alignment horizontal="right"/>
    </xf>
    <xf numFmtId="0" fontId="12" fillId="7" borderId="1" xfId="0" applyFont="1" applyFill="1" applyBorder="1" applyAlignment="1">
      <alignment horizontal="right"/>
    </xf>
    <xf numFmtId="10" fontId="12" fillId="7" borderId="1" xfId="0" applyNumberFormat="1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0" fontId="2" fillId="0" borderId="1" xfId="1" applyNumberFormat="1" applyFont="1" applyFill="1" applyBorder="1" applyAlignment="1">
      <alignment horizontal="right"/>
    </xf>
    <xf numFmtId="164" fontId="2" fillId="0" borderId="0" xfId="0" applyNumberFormat="1" applyFont="1" applyAlignment="1">
      <alignment horizontal="right"/>
    </xf>
    <xf numFmtId="0" fontId="12" fillId="0" borderId="1" xfId="0" applyFont="1" applyBorder="1" applyAlignment="1">
      <alignment horizontal="right"/>
    </xf>
    <xf numFmtId="0" fontId="12" fillId="0" borderId="0" xfId="0" applyFont="1" applyAlignment="1">
      <alignment horizontal="right"/>
    </xf>
    <xf numFmtId="10" fontId="12" fillId="0" borderId="1" xfId="1" applyNumberFormat="1" applyFont="1" applyFill="1" applyBorder="1" applyAlignment="1">
      <alignment horizontal="right"/>
    </xf>
    <xf numFmtId="10" fontId="2" fillId="0" borderId="0" xfId="1" applyNumberFormat="1" applyFont="1" applyFill="1" applyAlignment="1">
      <alignment horizontal="right"/>
    </xf>
    <xf numFmtId="166" fontId="2" fillId="0" borderId="1" xfId="1" applyNumberFormat="1" applyFont="1" applyFill="1" applyBorder="1" applyAlignment="1">
      <alignment horizontal="right"/>
    </xf>
    <xf numFmtId="10" fontId="2" fillId="0" borderId="1" xfId="0" applyNumberFormat="1" applyFont="1" applyBorder="1" applyAlignment="1">
      <alignment horizontal="right"/>
    </xf>
    <xf numFmtId="168" fontId="2" fillId="0" borderId="0" xfId="0" applyNumberFormat="1" applyFont="1" applyAlignment="1">
      <alignment horizontal="right"/>
    </xf>
    <xf numFmtId="165" fontId="2" fillId="0" borderId="1" xfId="0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/>
    </xf>
    <xf numFmtId="164" fontId="2" fillId="0" borderId="2" xfId="0" applyNumberFormat="1" applyFont="1" applyBorder="1" applyAlignment="1">
      <alignment horizontal="right"/>
    </xf>
    <xf numFmtId="10" fontId="2" fillId="0" borderId="0" xfId="0" applyNumberFormat="1" applyFont="1" applyAlignment="1">
      <alignment horizontal="right"/>
    </xf>
    <xf numFmtId="165" fontId="2" fillId="0" borderId="0" xfId="0" applyNumberFormat="1" applyFont="1" applyAlignment="1">
      <alignment horizontal="right"/>
    </xf>
    <xf numFmtId="164" fontId="2" fillId="0" borderId="1" xfId="2" applyNumberFormat="1" applyFont="1" applyFill="1" applyBorder="1" applyAlignment="1">
      <alignment horizontal="right"/>
    </xf>
    <xf numFmtId="164" fontId="2" fillId="0" borderId="0" xfId="0" applyNumberFormat="1" applyFont="1"/>
    <xf numFmtId="164" fontId="2" fillId="0" borderId="0" xfId="1" applyNumberFormat="1" applyFont="1" applyFill="1" applyBorder="1" applyAlignment="1">
      <alignment horizontal="right"/>
    </xf>
    <xf numFmtId="167" fontId="2" fillId="0" borderId="0" xfId="0" applyNumberFormat="1" applyFont="1" applyAlignment="1">
      <alignment horizontal="center"/>
    </xf>
    <xf numFmtId="169" fontId="13" fillId="0" borderId="0" xfId="0" applyNumberFormat="1" applyFont="1" applyAlignment="1">
      <alignment horizontal="center"/>
    </xf>
    <xf numFmtId="169" fontId="0" fillId="0" borderId="0" xfId="0" applyNumberFormat="1"/>
    <xf numFmtId="10" fontId="2" fillId="0" borderId="3" xfId="1" applyNumberFormat="1" applyFont="1" applyFill="1" applyBorder="1" applyAlignment="1">
      <alignment horizontal="right"/>
    </xf>
    <xf numFmtId="0" fontId="1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1" fillId="3" borderId="0" xfId="0" applyFont="1" applyFill="1" applyAlignment="1">
      <alignment horizontal="center"/>
    </xf>
    <xf numFmtId="10" fontId="12" fillId="0" borderId="1" xfId="0" applyNumberFormat="1" applyFont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7" xfId="0" applyFont="1" applyFill="1" applyBorder="1" applyAlignment="1">
      <alignment horizontal="center"/>
    </xf>
    <xf numFmtId="0" fontId="12" fillId="7" borderId="6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Portfolio Optimization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743970092004192"/>
          <c:y val="0.19203988571644812"/>
          <c:w val="0.49193265884553372"/>
          <c:h val="0.67802879794138249"/>
        </c:manualLayout>
      </c:layout>
      <c:scatterChart>
        <c:scatterStyle val="smoothMarker"/>
        <c:varyColors val="0"/>
        <c:ser>
          <c:idx val="0"/>
          <c:order val="0"/>
          <c:tx>
            <c:v>Efficient Frontier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Optimization'!$BR$3:$BR$69</c:f>
              <c:numCache>
                <c:formatCode>0.00%</c:formatCode>
                <c:ptCount val="67"/>
                <c:pt idx="0">
                  <c:v>6.2818923511055572E-2</c:v>
                </c:pt>
                <c:pt idx="1">
                  <c:v>6.4902408629301869E-2</c:v>
                </c:pt>
                <c:pt idx="2">
                  <c:v>6.7193682778462938E-2</c:v>
                </c:pt>
                <c:pt idx="3">
                  <c:v>6.9722795829519887E-2</c:v>
                </c:pt>
                <c:pt idx="4">
                  <c:v>7.2525670331181846E-2</c:v>
                </c:pt>
                <c:pt idx="5">
                  <c:v>7.5645828519120384E-2</c:v>
                </c:pt>
                <c:pt idx="6">
                  <c:v>7.9136649585949334E-2</c:v>
                </c:pt>
                <c:pt idx="7">
                  <c:v>8.3064585176998704E-2</c:v>
                </c:pt>
                <c:pt idx="8">
                  <c:v>8.7513578585381224E-2</c:v>
                </c:pt>
                <c:pt idx="9">
                  <c:v>9.2541757332714927E-2</c:v>
                </c:pt>
                <c:pt idx="10">
                  <c:v>9.834206553091368E-2</c:v>
                </c:pt>
                <c:pt idx="11">
                  <c:v>0.1050618621462541</c:v>
                </c:pt>
                <c:pt idx="12">
                  <c:v>0.11293223462198691</c:v>
                </c:pt>
                <c:pt idx="13">
                  <c:v>0.12219584637220809</c:v>
                </c:pt>
                <c:pt idx="14">
                  <c:v>0.13334914317893937</c:v>
                </c:pt>
                <c:pt idx="15">
                  <c:v>0.14696319206011596</c:v>
                </c:pt>
                <c:pt idx="16">
                  <c:v>0.16392914274804779</c:v>
                </c:pt>
                <c:pt idx="17">
                  <c:v>0.18562128880104389</c:v>
                </c:pt>
                <c:pt idx="18">
                  <c:v>0.21428455832100154</c:v>
                </c:pt>
              </c:numCache>
            </c:numRef>
          </c:xVal>
          <c:yVal>
            <c:numRef>
              <c:f>'Portfolio Optimization'!$BS$3:$BS$69</c:f>
              <c:numCache>
                <c:formatCode>0.00%</c:formatCode>
                <c:ptCount val="67"/>
                <c:pt idx="0">
                  <c:v>2.6132492336650194E-2</c:v>
                </c:pt>
                <c:pt idx="1">
                  <c:v>2.7003342480348955E-2</c:v>
                </c:pt>
                <c:pt idx="2">
                  <c:v>2.7952217854809464E-2</c:v>
                </c:pt>
                <c:pt idx="3">
                  <c:v>2.8990178475660742E-2</c:v>
                </c:pt>
                <c:pt idx="4">
                  <c:v>3.0130441266091091E-2</c:v>
                </c:pt>
                <c:pt idx="5">
                  <c:v>3.1389023465423778E-2</c:v>
                </c:pt>
                <c:pt idx="6">
                  <c:v>3.2785578370330089E-2</c:v>
                </c:pt>
                <c:pt idx="7">
                  <c:v>3.434458713669563E-2</c:v>
                </c:pt>
                <c:pt idx="8">
                  <c:v>3.6096991210223799E-2</c:v>
                </c:pt>
                <c:pt idx="9">
                  <c:v>3.8063186095232175E-2</c:v>
                </c:pt>
                <c:pt idx="10">
                  <c:v>4.0315679047120245E-2</c:v>
                </c:pt>
                <c:pt idx="11">
                  <c:v>4.2908153960757305E-2</c:v>
                </c:pt>
                <c:pt idx="12">
                  <c:v>4.5925762920722486E-2</c:v>
                </c:pt>
                <c:pt idx="13">
                  <c:v>4.9457068036353018E-2</c:v>
                </c:pt>
                <c:pt idx="14">
                  <c:v>5.3685946949995018E-2</c:v>
                </c:pt>
                <c:pt idx="15">
                  <c:v>5.8822324571329673E-2</c:v>
                </c:pt>
                <c:pt idx="16">
                  <c:v>6.5194468374434669E-2</c:v>
                </c:pt>
                <c:pt idx="17">
                  <c:v>7.3308618656094879E-2</c:v>
                </c:pt>
                <c:pt idx="18">
                  <c:v>8.3991782821779465E-2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E0-4FF0-A08F-F9F34031957D}"/>
            </c:ext>
          </c:extLst>
        </c:ser>
        <c:ser>
          <c:idx val="1"/>
          <c:order val="1"/>
          <c:tx>
            <c:v>Capital Market Line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solidFill>
                  <a:srgbClr val="92D050"/>
                </a:solidFill>
                <a:ln w="9525">
                  <a:solidFill>
                    <a:schemeClr val="accent2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0CC-4E6A-84B0-F1435AC44996}"/>
              </c:ext>
            </c:extLst>
          </c:dPt>
          <c:xVal>
            <c:numRef>
              <c:f>'Portfolio Optimization'!$BW$2:$BW$3</c:f>
              <c:numCache>
                <c:formatCode>0.00%</c:formatCode>
                <c:ptCount val="2"/>
                <c:pt idx="0" formatCode="General">
                  <c:v>0</c:v>
                </c:pt>
                <c:pt idx="1">
                  <c:v>7.9136649585949334E-2</c:v>
                </c:pt>
              </c:numCache>
            </c:numRef>
          </c:xVal>
          <c:yVal>
            <c:numRef>
              <c:f>'Portfolio Optimization'!$BV$2:$BV$3</c:f>
              <c:numCache>
                <c:formatCode>0.00%</c:formatCode>
                <c:ptCount val="2"/>
                <c:pt idx="0">
                  <c:v>1.1999999999999999E-3</c:v>
                </c:pt>
                <c:pt idx="1">
                  <c:v>3.2785578370330089E-2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E0-4FF0-A08F-F9F340319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82080"/>
        <c:axId val="723476800"/>
      </c:scatterChart>
      <c:scatterChart>
        <c:scatterStyle val="lineMarker"/>
        <c:varyColors val="0"/>
        <c:ser>
          <c:idx val="3"/>
          <c:order val="2"/>
          <c:tx>
            <c:v>Global Minimum Variance Portfolio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Optimization'!$AZ$31</c:f>
              <c:numCache>
                <c:formatCode>0.00%</c:formatCode>
                <c:ptCount val="1"/>
                <c:pt idx="0">
                  <c:v>3.0154505788259716E-2</c:v>
                </c:pt>
              </c:numCache>
            </c:numRef>
          </c:xVal>
          <c:yVal>
            <c:numRef>
              <c:f>'Portfolio Optimization'!$BA$31</c:f>
              <c:numCache>
                <c:formatCode>0.00%</c:formatCode>
                <c:ptCount val="1"/>
                <c:pt idx="0">
                  <c:v>5.8297088493792426E-3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16-4460-A730-37AC3B70D28A}"/>
            </c:ext>
          </c:extLst>
        </c:ser>
        <c:ser>
          <c:idx val="2"/>
          <c:order val="3"/>
          <c:tx>
            <c:v>Simulated Portfolios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Optimization'!$DI$2:$DI$1001</c:f>
              <c:numCache>
                <c:formatCode>0.00%</c:formatCode>
                <c:ptCount val="1000"/>
                <c:pt idx="0">
                  <c:v>5.2513811474039163E-2</c:v>
                </c:pt>
                <c:pt idx="1">
                  <c:v>7.3383832019185996E-2</c:v>
                </c:pt>
                <c:pt idx="2">
                  <c:v>0.1297670018634455</c:v>
                </c:pt>
                <c:pt idx="3">
                  <c:v>7.0406881795705159E-2</c:v>
                </c:pt>
                <c:pt idx="4">
                  <c:v>0.26703285248758496</c:v>
                </c:pt>
                <c:pt idx="5">
                  <c:v>4.2412332882312144E-2</c:v>
                </c:pt>
                <c:pt idx="6">
                  <c:v>0.10339945112186913</c:v>
                </c:pt>
                <c:pt idx="7">
                  <c:v>0.190884286096798</c:v>
                </c:pt>
                <c:pt idx="8">
                  <c:v>0.11268470455972768</c:v>
                </c:pt>
                <c:pt idx="9">
                  <c:v>0.12525251734328613</c:v>
                </c:pt>
                <c:pt idx="10">
                  <c:v>0.17635814420622581</c:v>
                </c:pt>
                <c:pt idx="11">
                  <c:v>4.3555855338467175E-2</c:v>
                </c:pt>
                <c:pt idx="12">
                  <c:v>4.1860362030608389</c:v>
                </c:pt>
                <c:pt idx="13">
                  <c:v>4.1436414475880104E-2</c:v>
                </c:pt>
                <c:pt idx="14">
                  <c:v>9.8783536339368511E-2</c:v>
                </c:pt>
                <c:pt idx="15">
                  <c:v>0.23638289319988126</c:v>
                </c:pt>
                <c:pt idx="16">
                  <c:v>6.2921930945962531E-2</c:v>
                </c:pt>
                <c:pt idx="17">
                  <c:v>7.0199430828725484E-2</c:v>
                </c:pt>
                <c:pt idx="18">
                  <c:v>0.58104731239559093</c:v>
                </c:pt>
                <c:pt idx="19">
                  <c:v>0.29520245011980184</c:v>
                </c:pt>
                <c:pt idx="20">
                  <c:v>0.36419182101897019</c:v>
                </c:pt>
                <c:pt idx="21">
                  <c:v>5.863082285133623E-2</c:v>
                </c:pt>
                <c:pt idx="22">
                  <c:v>0.17785768425357953</c:v>
                </c:pt>
                <c:pt idx="23">
                  <c:v>9.1879590339801712E-2</c:v>
                </c:pt>
                <c:pt idx="24">
                  <c:v>7.1667418195548796E-2</c:v>
                </c:pt>
                <c:pt idx="25">
                  <c:v>6.1654360287071136E-2</c:v>
                </c:pt>
                <c:pt idx="26">
                  <c:v>46.85683152832604</c:v>
                </c:pt>
                <c:pt idx="27">
                  <c:v>6.3858865966801265E-2</c:v>
                </c:pt>
                <c:pt idx="28">
                  <c:v>0.1102075081254139</c:v>
                </c:pt>
                <c:pt idx="29">
                  <c:v>1.091151308670812</c:v>
                </c:pt>
                <c:pt idx="30">
                  <c:v>0.14512515132619599</c:v>
                </c:pt>
                <c:pt idx="31">
                  <c:v>0.10606121930529075</c:v>
                </c:pt>
                <c:pt idx="32">
                  <c:v>5.7765858096183717E-2</c:v>
                </c:pt>
                <c:pt idx="33">
                  <c:v>4.248579251128811E-2</c:v>
                </c:pt>
                <c:pt idx="34">
                  <c:v>7.0620649746739983E-2</c:v>
                </c:pt>
                <c:pt idx="35">
                  <c:v>4.144090349656307E-2</c:v>
                </c:pt>
                <c:pt idx="36">
                  <c:v>9.6229830457062016E-2</c:v>
                </c:pt>
                <c:pt idx="37">
                  <c:v>4.8315790931903975E-2</c:v>
                </c:pt>
                <c:pt idx="38">
                  <c:v>7.2008825922960859E-2</c:v>
                </c:pt>
                <c:pt idx="39">
                  <c:v>4.8390047007326777E-2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'Portfolio Optimization'!$DH$2:$DH$1001</c:f>
              <c:numCache>
                <c:formatCode>0.00%</c:formatCode>
                <c:ptCount val="1000"/>
                <c:pt idx="0">
                  <c:v>-3.6010628383832473E-3</c:v>
                </c:pt>
                <c:pt idx="1">
                  <c:v>5.463822035873111E-3</c:v>
                </c:pt>
                <c:pt idx="2">
                  <c:v>6.6100440129388625E-3</c:v>
                </c:pt>
                <c:pt idx="3">
                  <c:v>2.2321668281469354E-2</c:v>
                </c:pt>
                <c:pt idx="4">
                  <c:v>-7.3170191233497425E-2</c:v>
                </c:pt>
                <c:pt idx="5">
                  <c:v>1.1594378927446775E-2</c:v>
                </c:pt>
                <c:pt idx="6">
                  <c:v>1.8514504803649248E-3</c:v>
                </c:pt>
                <c:pt idx="7">
                  <c:v>1.6009274096531041E-2</c:v>
                </c:pt>
                <c:pt idx="8">
                  <c:v>3.0557011160282917E-3</c:v>
                </c:pt>
                <c:pt idx="9">
                  <c:v>3.4390498581176092E-2</c:v>
                </c:pt>
                <c:pt idx="10">
                  <c:v>5.9407298181245384E-2</c:v>
                </c:pt>
                <c:pt idx="11">
                  <c:v>7.6246934022337672E-3</c:v>
                </c:pt>
                <c:pt idx="12">
                  <c:v>0.13640565103353655</c:v>
                </c:pt>
                <c:pt idx="13">
                  <c:v>5.0678111341035869E-3</c:v>
                </c:pt>
                <c:pt idx="14">
                  <c:v>2.628001519251499E-3</c:v>
                </c:pt>
                <c:pt idx="15">
                  <c:v>8.2996785431008538E-2</c:v>
                </c:pt>
                <c:pt idx="16">
                  <c:v>9.4639743418901117E-3</c:v>
                </c:pt>
                <c:pt idx="17">
                  <c:v>7.7080386125008126E-3</c:v>
                </c:pt>
                <c:pt idx="18">
                  <c:v>-6.3630978829316398E-2</c:v>
                </c:pt>
                <c:pt idx="19">
                  <c:v>9.2896459994496958E-2</c:v>
                </c:pt>
                <c:pt idx="20">
                  <c:v>6.4946221423678202E-2</c:v>
                </c:pt>
                <c:pt idx="21">
                  <c:v>1.1393770972404065E-2</c:v>
                </c:pt>
                <c:pt idx="22">
                  <c:v>5.0907262459930838E-3</c:v>
                </c:pt>
                <c:pt idx="23">
                  <c:v>2.9892631330245577E-2</c:v>
                </c:pt>
                <c:pt idx="24">
                  <c:v>3.5517627505602376E-4</c:v>
                </c:pt>
                <c:pt idx="25">
                  <c:v>8.5001052107501612E-3</c:v>
                </c:pt>
                <c:pt idx="26">
                  <c:v>-12.01309920283725</c:v>
                </c:pt>
                <c:pt idx="27">
                  <c:v>1.0087210837086597E-2</c:v>
                </c:pt>
                <c:pt idx="28">
                  <c:v>1.1873350603302938E-2</c:v>
                </c:pt>
                <c:pt idx="29">
                  <c:v>-4.9919920291869507E-2</c:v>
                </c:pt>
                <c:pt idx="30">
                  <c:v>-1.628016535260431E-2</c:v>
                </c:pt>
                <c:pt idx="31">
                  <c:v>3.9793866918426256E-2</c:v>
                </c:pt>
                <c:pt idx="32">
                  <c:v>-3.7582041962328839E-3</c:v>
                </c:pt>
                <c:pt idx="33">
                  <c:v>-5.9186463957280769E-4</c:v>
                </c:pt>
                <c:pt idx="34">
                  <c:v>6.0836565405166807E-3</c:v>
                </c:pt>
                <c:pt idx="35">
                  <c:v>1.4297356597717625E-3</c:v>
                </c:pt>
                <c:pt idx="36">
                  <c:v>1.2342056084626001E-2</c:v>
                </c:pt>
                <c:pt idx="37">
                  <c:v>4.6742316236157164E-3</c:v>
                </c:pt>
                <c:pt idx="38">
                  <c:v>3.7456252892281165E-3</c:v>
                </c:pt>
                <c:pt idx="39">
                  <c:v>2.6866764873028368E-3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16-46BD-AA3E-1D2480BC2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82080"/>
        <c:axId val="723476800"/>
      </c:scatterChart>
      <c:valAx>
        <c:axId val="723482080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76800"/>
        <c:crosses val="autoZero"/>
        <c:crossBetween val="midCat"/>
      </c:valAx>
      <c:valAx>
        <c:axId val="723476800"/>
        <c:scaling>
          <c:orientation val="minMax"/>
          <c:max val="9.0000000000000024E-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82080"/>
        <c:crosses val="autoZero"/>
        <c:crossBetween val="midCat"/>
        <c:majorUnit val="1.0000000000000002E-2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Portfolio Optimization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Efficient Frontier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Optimization'!$BR$3:$BR$21</c:f>
              <c:numCache>
                <c:formatCode>0.00%</c:formatCode>
                <c:ptCount val="19"/>
                <c:pt idx="0">
                  <c:v>6.2818923511055572E-2</c:v>
                </c:pt>
                <c:pt idx="1">
                  <c:v>6.4902408629301869E-2</c:v>
                </c:pt>
                <c:pt idx="2">
                  <c:v>6.7193682778462938E-2</c:v>
                </c:pt>
                <c:pt idx="3">
                  <c:v>6.9722795829519887E-2</c:v>
                </c:pt>
                <c:pt idx="4">
                  <c:v>7.2525670331181846E-2</c:v>
                </c:pt>
                <c:pt idx="5">
                  <c:v>7.5645828519120384E-2</c:v>
                </c:pt>
                <c:pt idx="6">
                  <c:v>7.9136649585949334E-2</c:v>
                </c:pt>
                <c:pt idx="7">
                  <c:v>8.3064585176998704E-2</c:v>
                </c:pt>
                <c:pt idx="8">
                  <c:v>8.7513578585381224E-2</c:v>
                </c:pt>
                <c:pt idx="9">
                  <c:v>9.2541757332714927E-2</c:v>
                </c:pt>
                <c:pt idx="10">
                  <c:v>9.834206553091368E-2</c:v>
                </c:pt>
                <c:pt idx="11">
                  <c:v>0.1050618621462541</c:v>
                </c:pt>
                <c:pt idx="12">
                  <c:v>0.11293223462198691</c:v>
                </c:pt>
                <c:pt idx="13">
                  <c:v>0.12219584637220809</c:v>
                </c:pt>
                <c:pt idx="14">
                  <c:v>0.13334914317893937</c:v>
                </c:pt>
                <c:pt idx="15">
                  <c:v>0.14696319206011596</c:v>
                </c:pt>
                <c:pt idx="16">
                  <c:v>0.16392914274804779</c:v>
                </c:pt>
                <c:pt idx="17">
                  <c:v>0.18562128880104389</c:v>
                </c:pt>
                <c:pt idx="18">
                  <c:v>0.21428455832100154</c:v>
                </c:pt>
              </c:numCache>
            </c:numRef>
          </c:xVal>
          <c:yVal>
            <c:numRef>
              <c:f>'Portfolio Optimization'!$BS$3:$BS$21</c:f>
              <c:numCache>
                <c:formatCode>0.00%</c:formatCode>
                <c:ptCount val="19"/>
                <c:pt idx="0">
                  <c:v>2.6132492336650194E-2</c:v>
                </c:pt>
                <c:pt idx="1">
                  <c:v>2.7003342480348955E-2</c:v>
                </c:pt>
                <c:pt idx="2">
                  <c:v>2.7952217854809464E-2</c:v>
                </c:pt>
                <c:pt idx="3">
                  <c:v>2.8990178475660742E-2</c:v>
                </c:pt>
                <c:pt idx="4">
                  <c:v>3.0130441266091091E-2</c:v>
                </c:pt>
                <c:pt idx="5">
                  <c:v>3.1389023465423778E-2</c:v>
                </c:pt>
                <c:pt idx="6">
                  <c:v>3.2785578370330089E-2</c:v>
                </c:pt>
                <c:pt idx="7">
                  <c:v>3.434458713669563E-2</c:v>
                </c:pt>
                <c:pt idx="8">
                  <c:v>3.6096991210223799E-2</c:v>
                </c:pt>
                <c:pt idx="9">
                  <c:v>3.8063186095232175E-2</c:v>
                </c:pt>
                <c:pt idx="10">
                  <c:v>4.0315679047120245E-2</c:v>
                </c:pt>
                <c:pt idx="11">
                  <c:v>4.2908153960757305E-2</c:v>
                </c:pt>
                <c:pt idx="12">
                  <c:v>4.5925762920722486E-2</c:v>
                </c:pt>
                <c:pt idx="13">
                  <c:v>4.9457068036353018E-2</c:v>
                </c:pt>
                <c:pt idx="14">
                  <c:v>5.3685946949995018E-2</c:v>
                </c:pt>
                <c:pt idx="15">
                  <c:v>5.8822324571329673E-2</c:v>
                </c:pt>
                <c:pt idx="16">
                  <c:v>6.5194468374434669E-2</c:v>
                </c:pt>
                <c:pt idx="17">
                  <c:v>7.3308618656094879E-2</c:v>
                </c:pt>
                <c:pt idx="18">
                  <c:v>8.3991782821779465E-2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A-4ACF-93BD-642CDF9B1ABC}"/>
            </c:ext>
          </c:extLst>
        </c:ser>
        <c:ser>
          <c:idx val="1"/>
          <c:order val="1"/>
          <c:tx>
            <c:v>Capital Market Line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Optimization'!$BW$2:$BW$3</c:f>
              <c:numCache>
                <c:formatCode>0.00%</c:formatCode>
                <c:ptCount val="2"/>
                <c:pt idx="0" formatCode="General">
                  <c:v>0</c:v>
                </c:pt>
                <c:pt idx="1">
                  <c:v>7.9136649585949334E-2</c:v>
                </c:pt>
              </c:numCache>
            </c:numRef>
          </c:xVal>
          <c:yVal>
            <c:numRef>
              <c:f>'Portfolio Optimization'!$BV$2:$BV$3</c:f>
              <c:numCache>
                <c:formatCode>0.00%</c:formatCode>
                <c:ptCount val="2"/>
                <c:pt idx="0">
                  <c:v>1.1999999999999999E-3</c:v>
                </c:pt>
                <c:pt idx="1">
                  <c:v>3.2785578370330089E-2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A-4ACF-93BD-642CDF9B1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82080"/>
        <c:axId val="723476800"/>
      </c:scatterChart>
      <c:scatterChart>
        <c:scatterStyle val="lineMarker"/>
        <c:varyColors val="0"/>
        <c:ser>
          <c:idx val="2"/>
          <c:order val="2"/>
          <c:tx>
            <c:v>Simulated Portfolios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Optimization'!$DI$2:$DI$1001</c:f>
              <c:numCache>
                <c:formatCode>0.00%</c:formatCode>
                <c:ptCount val="1000"/>
                <c:pt idx="0">
                  <c:v>5.2513811474039163E-2</c:v>
                </c:pt>
                <c:pt idx="1">
                  <c:v>7.3383832019185996E-2</c:v>
                </c:pt>
                <c:pt idx="2">
                  <c:v>0.1297670018634455</c:v>
                </c:pt>
                <c:pt idx="3">
                  <c:v>7.0406881795705159E-2</c:v>
                </c:pt>
                <c:pt idx="4">
                  <c:v>0.26703285248758496</c:v>
                </c:pt>
                <c:pt idx="5">
                  <c:v>4.2412332882312144E-2</c:v>
                </c:pt>
                <c:pt idx="6">
                  <c:v>0.10339945112186913</c:v>
                </c:pt>
                <c:pt idx="7">
                  <c:v>0.190884286096798</c:v>
                </c:pt>
                <c:pt idx="8">
                  <c:v>0.11268470455972768</c:v>
                </c:pt>
                <c:pt idx="9">
                  <c:v>0.12525251734328613</c:v>
                </c:pt>
                <c:pt idx="10">
                  <c:v>0.17635814420622581</c:v>
                </c:pt>
                <c:pt idx="11">
                  <c:v>4.3555855338467175E-2</c:v>
                </c:pt>
                <c:pt idx="12">
                  <c:v>4.1860362030608389</c:v>
                </c:pt>
                <c:pt idx="13">
                  <c:v>4.1436414475880104E-2</c:v>
                </c:pt>
                <c:pt idx="14">
                  <c:v>9.8783536339368511E-2</c:v>
                </c:pt>
                <c:pt idx="15">
                  <c:v>0.23638289319988126</c:v>
                </c:pt>
                <c:pt idx="16">
                  <c:v>6.2921930945962531E-2</c:v>
                </c:pt>
                <c:pt idx="17">
                  <c:v>7.0199430828725484E-2</c:v>
                </c:pt>
                <c:pt idx="18">
                  <c:v>0.58104731239559093</c:v>
                </c:pt>
                <c:pt idx="19">
                  <c:v>0.29520245011980184</c:v>
                </c:pt>
                <c:pt idx="20">
                  <c:v>0.36419182101897019</c:v>
                </c:pt>
                <c:pt idx="21">
                  <c:v>5.863082285133623E-2</c:v>
                </c:pt>
                <c:pt idx="22">
                  <c:v>0.17785768425357953</c:v>
                </c:pt>
                <c:pt idx="23">
                  <c:v>9.1879590339801712E-2</c:v>
                </c:pt>
                <c:pt idx="24">
                  <c:v>7.1667418195548796E-2</c:v>
                </c:pt>
                <c:pt idx="25">
                  <c:v>6.1654360287071136E-2</c:v>
                </c:pt>
                <c:pt idx="26">
                  <c:v>46.85683152832604</c:v>
                </c:pt>
                <c:pt idx="27">
                  <c:v>6.3858865966801265E-2</c:v>
                </c:pt>
                <c:pt idx="28">
                  <c:v>0.1102075081254139</c:v>
                </c:pt>
                <c:pt idx="29">
                  <c:v>1.091151308670812</c:v>
                </c:pt>
                <c:pt idx="30">
                  <c:v>0.14512515132619599</c:v>
                </c:pt>
                <c:pt idx="31">
                  <c:v>0.10606121930529075</c:v>
                </c:pt>
                <c:pt idx="32">
                  <c:v>5.7765858096183717E-2</c:v>
                </c:pt>
                <c:pt idx="33">
                  <c:v>4.248579251128811E-2</c:v>
                </c:pt>
                <c:pt idx="34">
                  <c:v>7.0620649746739983E-2</c:v>
                </c:pt>
                <c:pt idx="35">
                  <c:v>4.144090349656307E-2</c:v>
                </c:pt>
                <c:pt idx="36">
                  <c:v>9.6229830457062016E-2</c:v>
                </c:pt>
                <c:pt idx="37">
                  <c:v>4.8315790931903975E-2</c:v>
                </c:pt>
                <c:pt idx="38">
                  <c:v>7.2008825922960859E-2</c:v>
                </c:pt>
                <c:pt idx="39">
                  <c:v>4.8390047007326777E-2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'Portfolio Optimization'!$DH$2:$DH$1001</c:f>
              <c:numCache>
                <c:formatCode>0.00%</c:formatCode>
                <c:ptCount val="1000"/>
                <c:pt idx="0">
                  <c:v>-3.6010628383832473E-3</c:v>
                </c:pt>
                <c:pt idx="1">
                  <c:v>5.463822035873111E-3</c:v>
                </c:pt>
                <c:pt idx="2">
                  <c:v>6.6100440129388625E-3</c:v>
                </c:pt>
                <c:pt idx="3">
                  <c:v>2.2321668281469354E-2</c:v>
                </c:pt>
                <c:pt idx="4">
                  <c:v>-7.3170191233497425E-2</c:v>
                </c:pt>
                <c:pt idx="5">
                  <c:v>1.1594378927446775E-2</c:v>
                </c:pt>
                <c:pt idx="6">
                  <c:v>1.8514504803649248E-3</c:v>
                </c:pt>
                <c:pt idx="7">
                  <c:v>1.6009274096531041E-2</c:v>
                </c:pt>
                <c:pt idx="8">
                  <c:v>3.0557011160282917E-3</c:v>
                </c:pt>
                <c:pt idx="9">
                  <c:v>3.4390498581176092E-2</c:v>
                </c:pt>
                <c:pt idx="10">
                  <c:v>5.9407298181245384E-2</c:v>
                </c:pt>
                <c:pt idx="11">
                  <c:v>7.6246934022337672E-3</c:v>
                </c:pt>
                <c:pt idx="12">
                  <c:v>0.13640565103353655</c:v>
                </c:pt>
                <c:pt idx="13">
                  <c:v>5.0678111341035869E-3</c:v>
                </c:pt>
                <c:pt idx="14">
                  <c:v>2.628001519251499E-3</c:v>
                </c:pt>
                <c:pt idx="15">
                  <c:v>8.2996785431008538E-2</c:v>
                </c:pt>
                <c:pt idx="16">
                  <c:v>9.4639743418901117E-3</c:v>
                </c:pt>
                <c:pt idx="17">
                  <c:v>7.7080386125008126E-3</c:v>
                </c:pt>
                <c:pt idx="18">
                  <c:v>-6.3630978829316398E-2</c:v>
                </c:pt>
                <c:pt idx="19">
                  <c:v>9.2896459994496958E-2</c:v>
                </c:pt>
                <c:pt idx="20">
                  <c:v>6.4946221423678202E-2</c:v>
                </c:pt>
                <c:pt idx="21">
                  <c:v>1.1393770972404065E-2</c:v>
                </c:pt>
                <c:pt idx="22">
                  <c:v>5.0907262459930838E-3</c:v>
                </c:pt>
                <c:pt idx="23">
                  <c:v>2.9892631330245577E-2</c:v>
                </c:pt>
                <c:pt idx="24">
                  <c:v>3.5517627505602376E-4</c:v>
                </c:pt>
                <c:pt idx="25">
                  <c:v>8.5001052107501612E-3</c:v>
                </c:pt>
                <c:pt idx="26">
                  <c:v>-12.01309920283725</c:v>
                </c:pt>
                <c:pt idx="27">
                  <c:v>1.0087210837086597E-2</c:v>
                </c:pt>
                <c:pt idx="28">
                  <c:v>1.1873350603302938E-2</c:v>
                </c:pt>
                <c:pt idx="29">
                  <c:v>-4.9919920291869507E-2</c:v>
                </c:pt>
                <c:pt idx="30">
                  <c:v>-1.628016535260431E-2</c:v>
                </c:pt>
                <c:pt idx="31">
                  <c:v>3.9793866918426256E-2</c:v>
                </c:pt>
                <c:pt idx="32">
                  <c:v>-3.7582041962328839E-3</c:v>
                </c:pt>
                <c:pt idx="33">
                  <c:v>-5.9186463957280769E-4</c:v>
                </c:pt>
                <c:pt idx="34">
                  <c:v>6.0836565405166807E-3</c:v>
                </c:pt>
                <c:pt idx="35">
                  <c:v>1.4297356597717625E-3</c:v>
                </c:pt>
                <c:pt idx="36">
                  <c:v>1.2342056084626001E-2</c:v>
                </c:pt>
                <c:pt idx="37">
                  <c:v>4.6742316236157164E-3</c:v>
                </c:pt>
                <c:pt idx="38">
                  <c:v>3.7456252892281165E-3</c:v>
                </c:pt>
                <c:pt idx="39">
                  <c:v>2.6866764873028368E-3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06-412A-82DE-3A3265B106D1}"/>
            </c:ext>
          </c:extLst>
        </c:ser>
        <c:ser>
          <c:idx val="3"/>
          <c:order val="3"/>
          <c:tx>
            <c:v>Global Minimum Variance Portfolio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Optimization'!$AZ$31</c:f>
              <c:numCache>
                <c:formatCode>0.00%</c:formatCode>
                <c:ptCount val="1"/>
                <c:pt idx="0">
                  <c:v>3.0154505788259716E-2</c:v>
                </c:pt>
              </c:numCache>
            </c:numRef>
          </c:xVal>
          <c:yVal>
            <c:numRef>
              <c:f>'Portfolio Optimization'!$BA$31</c:f>
              <c:numCache>
                <c:formatCode>0.00%</c:formatCode>
                <c:ptCount val="1"/>
                <c:pt idx="0">
                  <c:v>5.8297088493792426E-3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9B-45CF-B938-890D5572722D}"/>
            </c:ext>
          </c:extLst>
        </c:ser>
        <c:ser>
          <c:idx val="4"/>
          <c:order val="4"/>
          <c:tx>
            <c:v>Tangent Portfolio</c:v>
          </c:tx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'Portfolio Optimization'!$BW$3</c:f>
              <c:numCache>
                <c:formatCode>0.00%</c:formatCode>
                <c:ptCount val="1"/>
                <c:pt idx="0">
                  <c:v>7.9136649585949334E-2</c:v>
                </c:pt>
              </c:numCache>
            </c:numRef>
          </c:xVal>
          <c:yVal>
            <c:numRef>
              <c:f>'Portfolio Optimization'!$BV$3</c:f>
              <c:numCache>
                <c:formatCode>0.00%</c:formatCode>
                <c:ptCount val="1"/>
                <c:pt idx="0">
                  <c:v>3.2785578370330089E-2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C-43D5-B8A3-2EE7B92EC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82080"/>
        <c:axId val="723476800"/>
      </c:scatterChart>
      <c:valAx>
        <c:axId val="723482080"/>
        <c:scaling>
          <c:orientation val="minMax"/>
          <c:max val="0.22000000000000003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Portfolio 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76800"/>
        <c:crosses val="autoZero"/>
        <c:crossBetween val="midCat"/>
      </c:valAx>
      <c:valAx>
        <c:axId val="723476800"/>
        <c:scaling>
          <c:orientation val="minMax"/>
          <c:max val="9.0000000000000024E-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Portfolio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82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Portfolio Weights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Tangent Portfolio Weights</c:v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'Portfolio Optimization'!$AZ$34:$BE$34</c:f>
              <c:strCache>
                <c:ptCount val="6"/>
                <c:pt idx="0">
                  <c:v>Stock1</c:v>
                </c:pt>
                <c:pt idx="1">
                  <c:v>Stock2</c:v>
                </c:pt>
                <c:pt idx="2">
                  <c:v>Stock3</c:v>
                </c:pt>
                <c:pt idx="3">
                  <c:v>Stock4</c:v>
                </c:pt>
                <c:pt idx="4">
                  <c:v>Stock5</c:v>
                </c:pt>
                <c:pt idx="5">
                  <c:v>Stock6</c:v>
                </c:pt>
              </c:strCache>
            </c:strRef>
          </c:cat>
          <c:val>
            <c:numRef>
              <c:f>'Portfolio Optimization'!$AZ$35:$BE$35</c:f>
              <c:numCache>
                <c:formatCode>0.00%</c:formatCode>
                <c:ptCount val="6"/>
                <c:pt idx="0">
                  <c:v>0.25193131006501185</c:v>
                </c:pt>
                <c:pt idx="1">
                  <c:v>-0.61921543782937016</c:v>
                </c:pt>
                <c:pt idx="2">
                  <c:v>0.53288347089042043</c:v>
                </c:pt>
                <c:pt idx="3">
                  <c:v>0.23820351959946259</c:v>
                </c:pt>
                <c:pt idx="4">
                  <c:v>1.0054218086276219</c:v>
                </c:pt>
                <c:pt idx="5">
                  <c:v>-0.40922467135315321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7-444E-BBE4-A34B7EA32BD8}"/>
            </c:ext>
          </c:extLst>
        </c:ser>
        <c:ser>
          <c:idx val="1"/>
          <c:order val="1"/>
          <c:tx>
            <c:v>Global Minimum Variance Portfolio Weights</c:v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2">
                  <a:alpha val="88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2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852-4AFF-B22F-ADC9098B6F80}"/>
              </c:ext>
            </c:extLst>
          </c:dPt>
          <c:dLbls>
            <c:spPr>
              <a:solidFill>
                <a:srgbClr val="ED7D31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'Portfolio Optimization'!$BB$31:$BG$31</c:f>
              <c:numCache>
                <c:formatCode>0.00%</c:formatCode>
                <c:ptCount val="6"/>
                <c:pt idx="0">
                  <c:v>6.5269333064652921E-2</c:v>
                </c:pt>
                <c:pt idx="1">
                  <c:v>7.6654238609753109E-2</c:v>
                </c:pt>
                <c:pt idx="2">
                  <c:v>0.47887981462122386</c:v>
                </c:pt>
                <c:pt idx="3">
                  <c:v>-1.5056512225084218E-2</c:v>
                </c:pt>
                <c:pt idx="4">
                  <c:v>0.18305506003838828</c:v>
                </c:pt>
                <c:pt idx="5">
                  <c:v>0.21119806589105947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37-4C1F-A03F-E58B1682BF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487651103"/>
        <c:axId val="487651583"/>
        <c:axId val="0"/>
      </c:bar3DChart>
      <c:catAx>
        <c:axId val="48765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51583"/>
        <c:crosses val="autoZero"/>
        <c:auto val="1"/>
        <c:lblAlgn val="ctr"/>
        <c:lblOffset val="100"/>
        <c:noMultiLvlLbl val="0"/>
      </c:catAx>
      <c:valAx>
        <c:axId val="487651583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48765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76863513902043978"/>
          <c:y val="0.12004807324417877"/>
          <c:w val="0.21697034313734745"/>
          <c:h val="0.2697464625721412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7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$BZ$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Scroll" dx="31" fmlaLink="$BZ$3" horiz="1" max="100" page="10" val="12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9</xdr:row>
          <xdr:rowOff>107950</xdr:rowOff>
        </xdr:from>
        <xdr:to>
          <xdr:col>2</xdr:col>
          <xdr:colOff>1079500</xdr:colOff>
          <xdr:row>12</xdr:row>
          <xdr:rowOff>69850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Efficient Frontier With Short Selling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1828800</xdr:colOff>
          <xdr:row>9</xdr:row>
          <xdr:rowOff>165100</xdr:rowOff>
        </xdr:from>
        <xdr:to>
          <xdr:col>2</xdr:col>
          <xdr:colOff>2895600</xdr:colOff>
          <xdr:row>12</xdr:row>
          <xdr:rowOff>38100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Efficient Frontier Without Short Selling</a:t>
              </a:r>
            </a:p>
          </xdr:txBody>
        </xdr:sp>
        <xdr:clientData/>
      </xdr:twoCellAnchor>
    </mc:Choice>
    <mc:Fallback/>
  </mc:AlternateContent>
  <xdr:twoCellAnchor>
    <xdr:from>
      <xdr:col>73</xdr:col>
      <xdr:colOff>7938</xdr:colOff>
      <xdr:row>6</xdr:row>
      <xdr:rowOff>3546</xdr:rowOff>
    </xdr:from>
    <xdr:to>
      <xdr:col>78</xdr:col>
      <xdr:colOff>0</xdr:colOff>
      <xdr:row>22</xdr:row>
      <xdr:rowOff>7938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3238500</xdr:colOff>
          <xdr:row>8</xdr:row>
          <xdr:rowOff>101600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145144</xdr:colOff>
      <xdr:row>13</xdr:row>
      <xdr:rowOff>36287</xdr:rowOff>
    </xdr:from>
    <xdr:to>
      <xdr:col>8</xdr:col>
      <xdr:colOff>261938</xdr:colOff>
      <xdr:row>29</xdr:row>
      <xdr:rowOff>79376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452437</xdr:colOff>
      <xdr:row>13</xdr:row>
      <xdr:rowOff>39311</xdr:rowOff>
    </xdr:from>
    <xdr:to>
      <xdr:col>16</xdr:col>
      <xdr:colOff>880936</xdr:colOff>
      <xdr:row>29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4</xdr:row>
          <xdr:rowOff>171450</xdr:rowOff>
        </xdr:from>
        <xdr:to>
          <xdr:col>9</xdr:col>
          <xdr:colOff>603250</xdr:colOff>
          <xdr:row>8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Simulated Portfolios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8</xdr:row>
          <xdr:rowOff>152400</xdr:rowOff>
        </xdr:from>
        <xdr:to>
          <xdr:col>9</xdr:col>
          <xdr:colOff>520700</xdr:colOff>
          <xdr:row>12</xdr:row>
          <xdr:rowOff>6350</xdr:rowOff>
        </xdr:to>
        <xdr:sp macro="" textlink="">
          <xdr:nvSpPr>
            <xdr:cNvPr id="1030" name="CheckBox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4</xdr:row>
          <xdr:rowOff>190500</xdr:rowOff>
        </xdr:from>
        <xdr:to>
          <xdr:col>6</xdr:col>
          <xdr:colOff>2717800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Generate Efficient Frontier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C56AF-5C45-4FB6-A7B5-D0FB2EAB9AEA}">
  <sheetPr codeName="Sheet1"/>
  <dimension ref="A1:NXX1001"/>
  <sheetViews>
    <sheetView tabSelected="1" topLeftCell="AN1" zoomScale="50" zoomScaleNormal="50" workbookViewId="0">
      <selection activeCell="AU3" sqref="AU3"/>
    </sheetView>
  </sheetViews>
  <sheetFormatPr defaultColWidth="0" defaultRowHeight="14" x14ac:dyDescent="0.3"/>
  <cols>
    <col min="1" max="1" width="44.1796875" style="1" bestFit="1" customWidth="1"/>
    <col min="2" max="2" width="9.6328125" style="1" bestFit="1" customWidth="1"/>
    <col min="3" max="3" width="47.36328125" style="1" bestFit="1" customWidth="1"/>
    <col min="4" max="4" width="10.08984375" style="1" bestFit="1" customWidth="1"/>
    <col min="5" max="5" width="8.54296875" style="1" bestFit="1" customWidth="1"/>
    <col min="6" max="6" width="33.81640625" style="1" bestFit="1" customWidth="1"/>
    <col min="7" max="7" width="44.1796875" style="1" bestFit="1" customWidth="1"/>
    <col min="8" max="8" width="9.6328125" style="1" bestFit="1" customWidth="1"/>
    <col min="9" max="9" width="10.81640625" style="1" bestFit="1" customWidth="1"/>
    <col min="10" max="12" width="10.08984375" style="1" bestFit="1" customWidth="1"/>
    <col min="13" max="13" width="11.1796875" style="1" bestFit="1" customWidth="1"/>
    <col min="14" max="14" width="52.6328125" style="1" bestFit="1" customWidth="1"/>
    <col min="15" max="15" width="45.08984375" style="1" bestFit="1" customWidth="1"/>
    <col min="16" max="16" width="10.08984375" style="1" bestFit="1" customWidth="1"/>
    <col min="17" max="17" width="16.81640625" style="1" customWidth="1"/>
    <col min="18" max="18" width="8.7265625" style="1" customWidth="1"/>
    <col min="19" max="19" width="9.6328125" style="1" bestFit="1" customWidth="1"/>
    <col min="20" max="24" width="10.08984375" style="1" bestFit="1" customWidth="1"/>
    <col min="25" max="28" width="8.7265625" style="1" customWidth="1"/>
    <col min="29" max="29" width="43.54296875" style="1" bestFit="1" customWidth="1"/>
    <col min="30" max="30" width="9.6328125" style="1" bestFit="1" customWidth="1"/>
    <col min="31" max="31" width="49" style="1" bestFit="1" customWidth="1"/>
    <col min="32" max="32" width="10.08984375" style="1" bestFit="1" customWidth="1"/>
    <col min="33" max="33" width="20.54296875" style="1" bestFit="1" customWidth="1"/>
    <col min="34" max="35" width="10.08984375" style="1" bestFit="1" customWidth="1"/>
    <col min="36" max="36" width="8.7265625" style="1" customWidth="1"/>
    <col min="37" max="37" width="16" style="1" bestFit="1" customWidth="1"/>
    <col min="38" max="38" width="9.6328125" style="1" bestFit="1" customWidth="1"/>
    <col min="39" max="43" width="10.08984375" style="1" bestFit="1" customWidth="1"/>
    <col min="44" max="44" width="8.7265625" style="1" customWidth="1"/>
    <col min="45" max="45" width="19.6328125" style="1" bestFit="1" customWidth="1"/>
    <col min="46" max="46" width="36.453125" style="1" bestFit="1" customWidth="1"/>
    <col min="47" max="47" width="21.453125" style="1" bestFit="1" customWidth="1"/>
    <col min="48" max="48" width="9.6328125" style="1" bestFit="1" customWidth="1"/>
    <col min="49" max="50" width="10.08984375" style="1" bestFit="1" customWidth="1"/>
    <col min="51" max="51" width="17.1796875" style="1" bestFit="1" customWidth="1"/>
    <col min="52" max="52" width="36.453125" style="1" bestFit="1" customWidth="1"/>
    <col min="53" max="53" width="21.453125" style="1" bestFit="1" customWidth="1"/>
    <col min="54" max="55" width="10.08984375" style="1" bestFit="1" customWidth="1"/>
    <col min="56" max="56" width="19.6328125" style="1" bestFit="1" customWidth="1"/>
    <col min="57" max="57" width="36.453125" style="1" bestFit="1" customWidth="1"/>
    <col min="58" max="58" width="21.453125" style="1" bestFit="1" customWidth="1"/>
    <col min="59" max="64" width="10.08984375" style="1" bestFit="1" customWidth="1"/>
    <col min="65" max="68" width="8.7265625" style="1" customWidth="1"/>
    <col min="69" max="69" width="9.90625" style="1" bestFit="1" customWidth="1"/>
    <col min="70" max="70" width="36.453125" style="1" bestFit="1" customWidth="1"/>
    <col min="71" max="71" width="21.453125" style="1" bestFit="1" customWidth="1"/>
    <col min="72" max="72" width="8.7265625" style="1" customWidth="1"/>
    <col min="73" max="73" width="16" style="1" bestFit="1" customWidth="1"/>
    <col min="74" max="74" width="9.6328125" style="1" bestFit="1" customWidth="1"/>
    <col min="75" max="75" width="7.1796875" style="1" bestFit="1" customWidth="1"/>
    <col min="76" max="76" width="8.7265625" style="1" customWidth="1"/>
    <col min="77" max="77" width="44" style="1" bestFit="1" customWidth="1"/>
    <col min="78" max="78" width="2.6328125" style="1" bestFit="1" customWidth="1"/>
    <col min="79" max="79" width="52.1796875" style="1" bestFit="1" customWidth="1"/>
    <col min="80" max="80" width="27.36328125" style="1" bestFit="1" customWidth="1"/>
    <col min="81" max="81" width="9.6328125" style="21" bestFit="1" customWidth="1"/>
    <col min="82" max="86" width="10.08984375" style="21" bestFit="1" customWidth="1"/>
    <col min="87" max="87" width="21.453125" style="1" bestFit="1" customWidth="1"/>
    <col min="88" max="88" width="36.453125" style="1" bestFit="1" customWidth="1"/>
    <col min="89" max="90" width="8.7265625" style="1" customWidth="1"/>
    <col min="91" max="91" width="48.08984375" style="1" bestFit="1" customWidth="1"/>
    <col min="92" max="92" width="27.36328125" style="1" bestFit="1" customWidth="1"/>
    <col min="93" max="93" width="9.6328125" style="21" bestFit="1" customWidth="1"/>
    <col min="94" max="98" width="10.08984375" style="21" bestFit="1" customWidth="1"/>
    <col min="99" max="99" width="21.453125" style="30" bestFit="1" customWidth="1"/>
    <col min="100" max="100" width="36.453125" style="30" bestFit="1" customWidth="1"/>
    <col min="101" max="103" width="8.7265625" style="1" customWidth="1"/>
    <col min="104" max="104" width="50.54296875" style="1" bestFit="1" customWidth="1"/>
    <col min="105" max="105" width="27.36328125" style="1" bestFit="1" customWidth="1"/>
    <col min="106" max="106" width="9.6328125" style="1" bestFit="1" customWidth="1"/>
    <col min="107" max="111" width="10.08984375" style="1" bestFit="1" customWidth="1"/>
    <col min="112" max="112" width="21.453125" style="1" bestFit="1" customWidth="1"/>
    <col min="113" max="113" width="36.453125" style="1" bestFit="1" customWidth="1"/>
    <col min="114" max="10112" width="13.1796875" style="1" bestFit="1" customWidth="1"/>
    <col min="10113" max="16384" width="8.7265625" style="1" hidden="1"/>
  </cols>
  <sheetData>
    <row r="1" spans="1:116" ht="14.5" customHeight="1" x14ac:dyDescent="0.4">
      <c r="A1" s="45" t="s">
        <v>49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8"/>
      <c r="P1" s="8"/>
      <c r="Q1" s="8"/>
      <c r="S1" s="22" t="s">
        <v>0</v>
      </c>
      <c r="T1" s="22" t="s">
        <v>1</v>
      </c>
      <c r="U1" s="22" t="s">
        <v>2</v>
      </c>
      <c r="V1" s="22" t="s">
        <v>3</v>
      </c>
      <c r="W1" s="22" t="s">
        <v>4</v>
      </c>
      <c r="X1" s="22" t="s">
        <v>5</v>
      </c>
      <c r="AC1" s="22" t="s">
        <v>46</v>
      </c>
      <c r="AD1" s="22" t="s">
        <v>0</v>
      </c>
      <c r="AE1" s="22" t="s">
        <v>1</v>
      </c>
      <c r="AF1" s="22" t="s">
        <v>2</v>
      </c>
      <c r="AG1" s="22" t="s">
        <v>3</v>
      </c>
      <c r="AH1" s="22" t="s">
        <v>4</v>
      </c>
      <c r="AI1" s="22" t="s">
        <v>5</v>
      </c>
      <c r="AK1" s="22" t="s">
        <v>53</v>
      </c>
      <c r="AL1" s="22" t="s">
        <v>0</v>
      </c>
      <c r="AM1" s="22" t="s">
        <v>1</v>
      </c>
      <c r="AN1" s="22" t="s">
        <v>2</v>
      </c>
      <c r="AO1" s="22" t="s">
        <v>3</v>
      </c>
      <c r="AP1" s="22" t="s">
        <v>4</v>
      </c>
      <c r="AQ1" s="22" t="s">
        <v>5</v>
      </c>
      <c r="AS1" s="43" t="s">
        <v>30</v>
      </c>
      <c r="AT1" s="43"/>
      <c r="AU1" s="43"/>
      <c r="AV1" s="43"/>
      <c r="AW1" s="43"/>
      <c r="AX1" s="43"/>
      <c r="AY1" s="43"/>
      <c r="AZ1" s="43"/>
      <c r="BA1" s="44"/>
      <c r="BD1" s="43" t="s">
        <v>31</v>
      </c>
      <c r="BE1" s="43"/>
      <c r="BF1" s="43"/>
      <c r="BG1" s="43"/>
      <c r="BH1" s="43"/>
      <c r="BI1" s="43"/>
      <c r="BJ1" s="43"/>
      <c r="BK1" s="43"/>
      <c r="BL1" s="44"/>
      <c r="BQ1" s="41" t="s">
        <v>44</v>
      </c>
      <c r="BR1" s="41"/>
      <c r="BS1" s="41"/>
      <c r="BU1" s="18"/>
      <c r="BV1" s="22" t="s">
        <v>22</v>
      </c>
      <c r="BW1" s="22" t="s">
        <v>23</v>
      </c>
      <c r="BX1" s="23"/>
      <c r="BY1" s="42" t="s">
        <v>19</v>
      </c>
      <c r="BZ1" s="42"/>
      <c r="CA1" s="22" t="s">
        <v>41</v>
      </c>
      <c r="CB1" s="22" t="s">
        <v>25</v>
      </c>
      <c r="CC1" s="22" t="s">
        <v>0</v>
      </c>
      <c r="CD1" s="22" t="s">
        <v>1</v>
      </c>
      <c r="CE1" s="22" t="s">
        <v>2</v>
      </c>
      <c r="CF1" s="22" t="s">
        <v>3</v>
      </c>
      <c r="CG1" s="22" t="s">
        <v>4</v>
      </c>
      <c r="CH1" s="22" t="s">
        <v>5</v>
      </c>
      <c r="CI1" s="24" t="s">
        <v>15</v>
      </c>
      <c r="CJ1" s="24" t="s">
        <v>12</v>
      </c>
      <c r="CM1" s="22" t="s">
        <v>42</v>
      </c>
      <c r="CN1" s="22" t="s">
        <v>25</v>
      </c>
      <c r="CO1" s="22" t="s">
        <v>0</v>
      </c>
      <c r="CP1" s="22" t="s">
        <v>1</v>
      </c>
      <c r="CQ1" s="22" t="s">
        <v>2</v>
      </c>
      <c r="CR1" s="22" t="s">
        <v>3</v>
      </c>
      <c r="CS1" s="22" t="s">
        <v>4</v>
      </c>
      <c r="CT1" s="22" t="s">
        <v>5</v>
      </c>
      <c r="CU1" s="24" t="s">
        <v>15</v>
      </c>
      <c r="CV1" s="24" t="s">
        <v>12</v>
      </c>
      <c r="CZ1" s="22" t="s">
        <v>48</v>
      </c>
      <c r="DA1" s="22" t="s">
        <v>25</v>
      </c>
      <c r="DB1" s="22" t="s">
        <v>0</v>
      </c>
      <c r="DC1" s="22" t="s">
        <v>1</v>
      </c>
      <c r="DD1" s="22" t="s">
        <v>2</v>
      </c>
      <c r="DE1" s="22" t="s">
        <v>3</v>
      </c>
      <c r="DF1" s="22" t="s">
        <v>4</v>
      </c>
      <c r="DG1" s="22" t="s">
        <v>5</v>
      </c>
      <c r="DH1" s="24" t="s">
        <v>15</v>
      </c>
      <c r="DI1" s="24" t="s">
        <v>12</v>
      </c>
    </row>
    <row r="2" spans="1:116" ht="15" customHeight="1" x14ac:dyDescent="0.4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14" t="s">
        <v>28</v>
      </c>
      <c r="P2" s="9"/>
      <c r="Q2" s="9"/>
      <c r="S2" s="18">
        <v>37.479999999999997</v>
      </c>
      <c r="T2" s="18">
        <v>5.32</v>
      </c>
      <c r="U2" s="18">
        <v>120.5</v>
      </c>
      <c r="V2" s="18">
        <v>50</v>
      </c>
      <c r="W2" s="18">
        <v>4.18</v>
      </c>
      <c r="X2" s="18">
        <v>35.47</v>
      </c>
      <c r="Z2" s="25"/>
      <c r="AC2" s="22" t="s">
        <v>6</v>
      </c>
      <c r="AD2" s="20">
        <f t="shared" ref="AD2:AI2" si="0">AVERAGE(AL2:AL73)</f>
        <v>1.3251788649110098E-3</v>
      </c>
      <c r="AE2" s="20">
        <f t="shared" si="0"/>
        <v>-8.2108319087743856E-3</v>
      </c>
      <c r="AF2" s="20">
        <f t="shared" si="0"/>
        <v>6.05386938028639E-3</v>
      </c>
      <c r="AG2" s="20">
        <f t="shared" si="0"/>
        <v>1.3898405377629489E-2</v>
      </c>
      <c r="AH2" s="20">
        <f t="shared" si="0"/>
        <v>2.0562007325458258E-2</v>
      </c>
      <c r="AI2" s="20">
        <f t="shared" si="0"/>
        <v>-3.8439482970321589E-4</v>
      </c>
      <c r="AL2" s="26">
        <v>0</v>
      </c>
      <c r="AM2" s="26">
        <v>0</v>
      </c>
      <c r="AN2" s="26">
        <v>0</v>
      </c>
      <c r="AO2" s="26">
        <v>0</v>
      </c>
      <c r="AP2" s="26">
        <v>0</v>
      </c>
      <c r="AQ2" s="26">
        <v>0</v>
      </c>
      <c r="AS2" s="22" t="s">
        <v>16</v>
      </c>
      <c r="AT2" s="22" t="s">
        <v>12</v>
      </c>
      <c r="AU2" s="22" t="s">
        <v>15</v>
      </c>
      <c r="AV2" s="22" t="s">
        <v>0</v>
      </c>
      <c r="AW2" s="22" t="s">
        <v>1</v>
      </c>
      <c r="AX2" s="22" t="s">
        <v>2</v>
      </c>
      <c r="AY2" s="22" t="s">
        <v>3</v>
      </c>
      <c r="AZ2" s="22" t="s">
        <v>4</v>
      </c>
      <c r="BA2" s="22" t="s">
        <v>5</v>
      </c>
      <c r="BD2" s="22" t="s">
        <v>16</v>
      </c>
      <c r="BE2" s="22" t="s">
        <v>12</v>
      </c>
      <c r="BF2" s="22" t="s">
        <v>15</v>
      </c>
      <c r="BG2" s="22" t="s">
        <v>0</v>
      </c>
      <c r="BH2" s="22" t="s">
        <v>1</v>
      </c>
      <c r="BI2" s="22" t="s">
        <v>2</v>
      </c>
      <c r="BJ2" s="22" t="s">
        <v>3</v>
      </c>
      <c r="BK2" s="22" t="s">
        <v>4</v>
      </c>
      <c r="BL2" s="22" t="s">
        <v>5</v>
      </c>
      <c r="BQ2" s="22" t="s">
        <v>18</v>
      </c>
      <c r="BR2" s="22" t="s">
        <v>12</v>
      </c>
      <c r="BS2" s="22" t="s">
        <v>15</v>
      </c>
      <c r="BU2" s="18" t="s">
        <v>16</v>
      </c>
      <c r="BV2" s="27">
        <f>BZ3/10000</f>
        <v>1.1999999999999999E-3</v>
      </c>
      <c r="BW2" s="18">
        <v>0</v>
      </c>
      <c r="BY2" s="18" t="s">
        <v>20</v>
      </c>
      <c r="BZ2" s="18">
        <v>1</v>
      </c>
      <c r="CB2" s="18">
        <v>1</v>
      </c>
      <c r="CC2" s="19">
        <v>0.20347403878237161</v>
      </c>
      <c r="CD2" s="19">
        <v>0.16266304799211825</v>
      </c>
      <c r="CE2" s="19">
        <v>7.0388030554988157E-2</v>
      </c>
      <c r="CF2" s="19">
        <v>0.1836764265312047</v>
      </c>
      <c r="CG2" s="19">
        <v>0.23592600934480257</v>
      </c>
      <c r="CH2" s="19">
        <v>0.14387244679451472</v>
      </c>
      <c r="CI2" s="20">
        <v>6.7087784358102684E-3</v>
      </c>
      <c r="CJ2" s="20">
        <v>3.9931311452292922E-2</v>
      </c>
      <c r="CL2" s="25"/>
      <c r="CN2" s="18">
        <v>1</v>
      </c>
      <c r="CO2" s="19">
        <v>0.45038013606751032</v>
      </c>
      <c r="CP2" s="19">
        <v>0.38209247516774569</v>
      </c>
      <c r="CQ2" s="19">
        <v>0.52926516800608869</v>
      </c>
      <c r="CR2" s="19">
        <v>-0.2516033516117081</v>
      </c>
      <c r="CS2" s="19">
        <v>-3.8677377947395786E-2</v>
      </c>
      <c r="CT2" s="19">
        <v>-7.1457049682240828E-2</v>
      </c>
      <c r="CU2" s="20">
        <v>-3.6010628383832473E-3</v>
      </c>
      <c r="CV2" s="20">
        <v>5.2513811474039163E-2</v>
      </c>
      <c r="DA2" s="18">
        <f>IF($BZ$2=1,CN2,CB2)</f>
        <v>1</v>
      </c>
      <c r="DB2" s="19">
        <f t="shared" ref="DB2:DI2" si="1">IF($BZ$2=1,CO2,CC2)</f>
        <v>0.45038013606751032</v>
      </c>
      <c r="DC2" s="19">
        <f t="shared" si="1"/>
        <v>0.38209247516774569</v>
      </c>
      <c r="DD2" s="19">
        <f t="shared" si="1"/>
        <v>0.52926516800608869</v>
      </c>
      <c r="DE2" s="19">
        <f t="shared" si="1"/>
        <v>-0.2516033516117081</v>
      </c>
      <c r="DF2" s="19">
        <f t="shared" si="1"/>
        <v>-3.8677377947395786E-2</v>
      </c>
      <c r="DG2" s="19">
        <f t="shared" si="1"/>
        <v>-7.1457049682240828E-2</v>
      </c>
      <c r="DH2" s="20">
        <f t="shared" si="1"/>
        <v>-3.6010628383832473E-3</v>
      </c>
      <c r="DI2" s="20">
        <f t="shared" si="1"/>
        <v>5.2513811474039163E-2</v>
      </c>
    </row>
    <row r="3" spans="1:116" ht="15" customHeight="1" x14ac:dyDescent="0.4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14" t="s">
        <v>29</v>
      </c>
      <c r="P3" s="9"/>
      <c r="Q3" s="9"/>
      <c r="S3" s="18">
        <v>37.07</v>
      </c>
      <c r="T3" s="18">
        <v>5.48</v>
      </c>
      <c r="U3" s="18">
        <v>124.5</v>
      </c>
      <c r="V3" s="18">
        <v>64</v>
      </c>
      <c r="W3" s="18">
        <v>4.29</v>
      </c>
      <c r="X3" s="18">
        <v>37.5</v>
      </c>
      <c r="Z3" s="25"/>
      <c r="AC3" s="22" t="s">
        <v>7</v>
      </c>
      <c r="AD3" s="20">
        <f t="shared" ref="AD3:AI3" si="2">MEDIAN(AL2:AL73)</f>
        <v>1.3286093888397316E-3</v>
      </c>
      <c r="AE3" s="20">
        <f t="shared" si="2"/>
        <v>9.4517958412096285E-4</v>
      </c>
      <c r="AF3" s="20">
        <f t="shared" si="2"/>
        <v>8.2323270345554464E-3</v>
      </c>
      <c r="AG3" s="20">
        <f t="shared" si="2"/>
        <v>8.968253968253969E-3</v>
      </c>
      <c r="AH3" s="20">
        <f t="shared" si="2"/>
        <v>1.7440686376329995E-2</v>
      </c>
      <c r="AI3" s="20">
        <f t="shared" si="2"/>
        <v>5.0651301932328682E-3</v>
      </c>
      <c r="AK3" s="25"/>
      <c r="AL3" s="26">
        <f>(S3-S2)/S2</f>
        <v>-1.0939167556029793E-2</v>
      </c>
      <c r="AM3" s="26">
        <f t="shared" ref="AM3:AQ18" si="3">(T3-T2)/T2</f>
        <v>3.0075187969924838E-2</v>
      </c>
      <c r="AN3" s="26">
        <f t="shared" si="3"/>
        <v>3.3195020746887967E-2</v>
      </c>
      <c r="AO3" s="26">
        <f t="shared" si="3"/>
        <v>0.28000000000000003</v>
      </c>
      <c r="AP3" s="26">
        <f t="shared" si="3"/>
        <v>2.6315789473684289E-2</v>
      </c>
      <c r="AQ3" s="26">
        <f t="shared" si="3"/>
        <v>5.7231463208345115E-2</v>
      </c>
      <c r="AS3" s="20">
        <v>-2.5000000000000001E-4</v>
      </c>
      <c r="AT3" s="20">
        <v>6.2818923511055572E-2</v>
      </c>
      <c r="AU3" s="20">
        <v>2.6132492336650194E-2</v>
      </c>
      <c r="AV3" s="20">
        <v>0.20586597491889272</v>
      </c>
      <c r="AW3" s="20">
        <v>-0.44748050486083679</v>
      </c>
      <c r="AX3" s="20">
        <v>0.51957349880242887</v>
      </c>
      <c r="AY3" s="20">
        <v>0.17569339610149534</v>
      </c>
      <c r="AZ3" s="20">
        <v>0.80243952326703838</v>
      </c>
      <c r="BA3" s="20">
        <v>-0.2560918882290249</v>
      </c>
      <c r="BD3" s="20">
        <v>-2.5000000000000001E-4</v>
      </c>
      <c r="BE3" s="20">
        <v>4.1451396317223242E-2</v>
      </c>
      <c r="BF3" s="20">
        <v>1.4719235249556536E-2</v>
      </c>
      <c r="BG3" s="20">
        <v>0</v>
      </c>
      <c r="BH3" s="20">
        <v>0</v>
      </c>
      <c r="BI3" s="20">
        <v>0.35675072684394538</v>
      </c>
      <c r="BJ3" s="20">
        <v>0.1000935115919929</v>
      </c>
      <c r="BK3" s="20">
        <v>0.54315576156406131</v>
      </c>
      <c r="BL3" s="20">
        <v>0</v>
      </c>
      <c r="BQ3" s="27">
        <f>(BS3-$BV$2)/BR3</f>
        <v>0.39689461301039802</v>
      </c>
      <c r="BR3" s="20">
        <f t="shared" ref="BR3:BR21" si="4">IF($BZ$2=1,AT3,BE3)</f>
        <v>6.2818923511055572E-2</v>
      </c>
      <c r="BS3" s="20">
        <f t="shared" ref="BS3:BS21" si="5">IF($BZ$2=1,AU3,BF3)</f>
        <v>2.6132492336650194E-2</v>
      </c>
      <c r="BU3" s="18" t="s">
        <v>24</v>
      </c>
      <c r="BV3" s="20">
        <f>VLOOKUP(MAX($BQ$3:$BQ$21),$BQ$3:$BS$21,3,FALSE)</f>
        <v>3.2785578370330089E-2</v>
      </c>
      <c r="BW3" s="20">
        <f>VLOOKUP(MAX($BQ$3:$BQ$21),$BQ$3:$BS$21,2,FALSE)</f>
        <v>7.9136649585949334E-2</v>
      </c>
      <c r="BY3" s="18" t="s">
        <v>21</v>
      </c>
      <c r="BZ3" s="18">
        <v>12</v>
      </c>
      <c r="CB3" s="18">
        <v>2</v>
      </c>
      <c r="CC3" s="19">
        <v>0.26642390334601407</v>
      </c>
      <c r="CD3" s="19">
        <v>8.3374716038784755E-2</v>
      </c>
      <c r="CE3" s="19">
        <v>0.1966534082220267</v>
      </c>
      <c r="CF3" s="19">
        <v>0.26222698498663366</v>
      </c>
      <c r="CG3" s="19">
        <v>8.2893540573637778E-2</v>
      </c>
      <c r="CH3" s="19">
        <v>0.10842744683290302</v>
      </c>
      <c r="CI3" s="20">
        <v>6.1663131703948802E-3</v>
      </c>
      <c r="CJ3" s="20">
        <v>4.2198364163914474E-2</v>
      </c>
      <c r="CL3" s="25"/>
      <c r="CN3" s="18">
        <v>2</v>
      </c>
      <c r="CO3" s="19">
        <v>-0.58353014876852582</v>
      </c>
      <c r="CP3" s="19">
        <v>-6.5908480607760334E-2</v>
      </c>
      <c r="CQ3" s="19">
        <v>0.5074918381196678</v>
      </c>
      <c r="CR3" s="19">
        <v>0.5197614566229013</v>
      </c>
      <c r="CS3" s="19">
        <v>-0.20819993165741332</v>
      </c>
      <c r="CT3" s="19">
        <v>0.8303852662911303</v>
      </c>
      <c r="CU3" s="20">
        <v>5.463822035873111E-3</v>
      </c>
      <c r="CV3" s="20">
        <v>7.3383832019185996E-2</v>
      </c>
      <c r="CZ3" s="28"/>
      <c r="DA3" s="18">
        <f t="shared" ref="DA3:DA66" si="6">IF($BZ$2=1,CN3,CB3)</f>
        <v>2</v>
      </c>
      <c r="DB3" s="19">
        <f t="shared" ref="DB3:DB66" si="7">IF($BZ$2=1,CO3,CC3)</f>
        <v>-0.58353014876852582</v>
      </c>
      <c r="DC3" s="19">
        <f t="shared" ref="DC3:DC66" si="8">IF($BZ$2=1,CP3,CD3)</f>
        <v>-6.5908480607760334E-2</v>
      </c>
      <c r="DD3" s="19">
        <f t="shared" ref="DD3:DD66" si="9">IF($BZ$2=1,CQ3,CE3)</f>
        <v>0.5074918381196678</v>
      </c>
      <c r="DE3" s="19">
        <f t="shared" ref="DE3:DE66" si="10">IF($BZ$2=1,CR3,CF3)</f>
        <v>0.5197614566229013</v>
      </c>
      <c r="DF3" s="19">
        <f t="shared" ref="DF3:DF66" si="11">IF($BZ$2=1,CS3,CG3)</f>
        <v>-0.20819993165741332</v>
      </c>
      <c r="DG3" s="19">
        <f t="shared" ref="DG3:DG66" si="12">IF($BZ$2=1,CT3,CH3)</f>
        <v>0.8303852662911303</v>
      </c>
      <c r="DH3" s="20">
        <f t="shared" ref="DH3:DH66" si="13">IF($BZ$2=1,CU3,CI3)</f>
        <v>5.463822035873111E-3</v>
      </c>
      <c r="DI3" s="20">
        <f t="shared" ref="DI3:DI66" si="14">IF($BZ$2=1,CV3,CJ3)</f>
        <v>7.3383832019185996E-2</v>
      </c>
    </row>
    <row r="4" spans="1:116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S4" s="18">
        <v>32.76</v>
      </c>
      <c r="T4" s="18">
        <v>5.21</v>
      </c>
      <c r="U4" s="18">
        <v>125</v>
      </c>
      <c r="V4" s="18">
        <v>60</v>
      </c>
      <c r="W4" s="18">
        <v>4.3600000000000003</v>
      </c>
      <c r="X4" s="18">
        <v>35.82</v>
      </c>
      <c r="AC4" s="22" t="s">
        <v>8</v>
      </c>
      <c r="AD4" s="20">
        <f t="shared" ref="AD4:AI4" si="15">_xlfn.STDEV.S(AL2:AL73)</f>
        <v>7.2190905017747442E-2</v>
      </c>
      <c r="AE4" s="20">
        <f t="shared" si="15"/>
        <v>6.976092817413615E-2</v>
      </c>
      <c r="AF4" s="20">
        <f t="shared" si="15"/>
        <v>4.0787641709500611E-2</v>
      </c>
      <c r="AG4" s="20">
        <f t="shared" si="15"/>
        <v>8.9453784191174002E-2</v>
      </c>
      <c r="AH4" s="20">
        <f t="shared" si="15"/>
        <v>6.125961806696658E-2</v>
      </c>
      <c r="AI4" s="20">
        <f t="shared" si="15"/>
        <v>5.1679087248404081E-2</v>
      </c>
      <c r="AK4" s="25"/>
      <c r="AL4" s="26">
        <f t="shared" ref="AL4:AL67" si="16">(S4-S3)/S3</f>
        <v>-0.11626652279471276</v>
      </c>
      <c r="AM4" s="26">
        <f t="shared" si="3"/>
        <v>-4.9270072992700809E-2</v>
      </c>
      <c r="AN4" s="26">
        <f t="shared" si="3"/>
        <v>4.0160642570281121E-3</v>
      </c>
      <c r="AO4" s="26">
        <f t="shared" si="3"/>
        <v>-6.25E-2</v>
      </c>
      <c r="AP4" s="26">
        <f t="shared" si="3"/>
        <v>1.6317016317016382E-2</v>
      </c>
      <c r="AQ4" s="26">
        <f t="shared" si="3"/>
        <v>-4.4799999999999993E-2</v>
      </c>
      <c r="AS4" s="20">
        <v>0</v>
      </c>
      <c r="AT4" s="20">
        <v>6.4902408629301869E-2</v>
      </c>
      <c r="AU4" s="20">
        <v>2.7003342480348955E-2</v>
      </c>
      <c r="AV4" s="20">
        <v>0.21189260102230595</v>
      </c>
      <c r="AW4" s="20">
        <v>-0.46995647769464366</v>
      </c>
      <c r="AX4" s="20">
        <v>0.52130358558644574</v>
      </c>
      <c r="AY4" s="20">
        <v>0.18387811329103368</v>
      </c>
      <c r="AZ4" s="20">
        <v>0.82901215157589669</v>
      </c>
      <c r="BA4" s="20">
        <v>-0.27612997378104492</v>
      </c>
      <c r="BD4" s="20">
        <v>0</v>
      </c>
      <c r="BE4" s="20">
        <v>4.1745058883380717E-2</v>
      </c>
      <c r="BF4" s="20">
        <v>1.4824386206567407E-2</v>
      </c>
      <c r="BG4" s="20">
        <v>0</v>
      </c>
      <c r="BH4" s="20">
        <v>0</v>
      </c>
      <c r="BI4" s="20">
        <v>0.34896853056746857</v>
      </c>
      <c r="BJ4" s="20">
        <v>0.10125717955195924</v>
      </c>
      <c r="BK4" s="20">
        <v>0.54977428988057175</v>
      </c>
      <c r="BL4" s="20">
        <v>0</v>
      </c>
      <c r="BQ4" s="27">
        <f t="shared" ref="BQ4:BQ21" si="17">(BS4-$BV$2)/BR4</f>
        <v>0.39757141568855997</v>
      </c>
      <c r="BR4" s="20">
        <f t="shared" si="4"/>
        <v>6.4902408629301869E-2</v>
      </c>
      <c r="BS4" s="20">
        <f t="shared" si="5"/>
        <v>2.7003342480348955E-2</v>
      </c>
      <c r="CB4" s="18">
        <v>3</v>
      </c>
      <c r="CC4" s="19">
        <v>4.388207547681669E-3</v>
      </c>
      <c r="CD4" s="19">
        <v>9.0922786391783833E-2</v>
      </c>
      <c r="CE4" s="19">
        <v>0.30364659640745267</v>
      </c>
      <c r="CF4" s="19">
        <v>0.23490869121702074</v>
      </c>
      <c r="CG4" s="19">
        <v>0.17924136947623884</v>
      </c>
      <c r="CH4" s="19">
        <v>0.18689234895982224</v>
      </c>
      <c r="CI4" s="20">
        <v>7.9760783933828464E-3</v>
      </c>
      <c r="CJ4" s="20">
        <v>3.7120198366068981E-2</v>
      </c>
      <c r="CL4" s="25"/>
      <c r="CN4" s="18">
        <v>3</v>
      </c>
      <c r="CO4" s="19">
        <v>-0.6630775565561573</v>
      </c>
      <c r="CP4" s="19">
        <v>1.1089808830525039</v>
      </c>
      <c r="CQ4" s="19">
        <v>-0.36271786368557551</v>
      </c>
      <c r="CR4" s="19">
        <v>-0.57418735742778071</v>
      </c>
      <c r="CS4" s="19">
        <v>1.3054110409597466</v>
      </c>
      <c r="CT4" s="19">
        <v>0.18559085365726311</v>
      </c>
      <c r="CU4" s="20">
        <v>6.6100440129388625E-3</v>
      </c>
      <c r="CV4" s="20">
        <v>0.1297670018634455</v>
      </c>
      <c r="DA4" s="18">
        <f t="shared" si="6"/>
        <v>3</v>
      </c>
      <c r="DB4" s="19">
        <f t="shared" si="7"/>
        <v>-0.6630775565561573</v>
      </c>
      <c r="DC4" s="19">
        <f t="shared" si="8"/>
        <v>1.1089808830525039</v>
      </c>
      <c r="DD4" s="19">
        <f t="shared" si="9"/>
        <v>-0.36271786368557551</v>
      </c>
      <c r="DE4" s="19">
        <f t="shared" si="10"/>
        <v>-0.57418735742778071</v>
      </c>
      <c r="DF4" s="19">
        <f t="shared" si="11"/>
        <v>1.3054110409597466</v>
      </c>
      <c r="DG4" s="19">
        <f t="shared" si="12"/>
        <v>0.18559085365726311</v>
      </c>
      <c r="DH4" s="20">
        <f t="shared" si="13"/>
        <v>6.6100440129388625E-3</v>
      </c>
      <c r="DI4" s="20">
        <f t="shared" si="14"/>
        <v>0.1297670018634455</v>
      </c>
    </row>
    <row r="5" spans="1:116" ht="17.5" x14ac:dyDescent="0.35">
      <c r="A5" s="3"/>
      <c r="B5" s="3"/>
      <c r="C5" s="5" t="s">
        <v>38</v>
      </c>
      <c r="D5" s="5">
        <v>40</v>
      </c>
      <c r="E5" s="3"/>
      <c r="F5" s="3"/>
      <c r="G5" s="3"/>
      <c r="H5" s="3"/>
      <c r="I5" s="3"/>
      <c r="J5" s="3"/>
      <c r="K5" s="3"/>
      <c r="L5" s="3"/>
      <c r="M5" s="3"/>
      <c r="N5" s="5"/>
      <c r="O5" s="5" t="s">
        <v>22</v>
      </c>
      <c r="P5" s="5" t="s">
        <v>23</v>
      </c>
      <c r="Q5" s="3"/>
      <c r="S5" s="18">
        <v>32.700000000000003</v>
      </c>
      <c r="T5" s="18">
        <v>5.4</v>
      </c>
      <c r="U5" s="18">
        <v>125.5</v>
      </c>
      <c r="V5" s="18">
        <v>80</v>
      </c>
      <c r="W5" s="18">
        <v>4.6100000000000003</v>
      </c>
      <c r="X5" s="18">
        <v>37.56</v>
      </c>
      <c r="AC5" s="22" t="s">
        <v>9</v>
      </c>
      <c r="AD5" s="20">
        <f t="shared" ref="AD5:AI5" si="18">_xlfn.VAR.S(AL2:AL73)</f>
        <v>5.2115267672814321E-3</v>
      </c>
      <c r="AE5" s="20">
        <f t="shared" si="18"/>
        <v>4.8665870997169824E-3</v>
      </c>
      <c r="AF5" s="20">
        <f t="shared" si="18"/>
        <v>1.6636317162225937E-3</v>
      </c>
      <c r="AG5" s="20">
        <f t="shared" si="18"/>
        <v>8.0019795061211322E-3</v>
      </c>
      <c r="AH5" s="20">
        <f t="shared" si="18"/>
        <v>3.7527408057106181E-3</v>
      </c>
      <c r="AI5" s="20">
        <f t="shared" si="18"/>
        <v>2.6707280588281609E-3</v>
      </c>
      <c r="AK5" s="25"/>
      <c r="AL5" s="26">
        <f t="shared" si="16"/>
        <v>-1.831501831501684E-3</v>
      </c>
      <c r="AM5" s="26">
        <f t="shared" si="3"/>
        <v>3.6468330134357081E-2</v>
      </c>
      <c r="AN5" s="26">
        <f t="shared" si="3"/>
        <v>4.0000000000000001E-3</v>
      </c>
      <c r="AO5" s="26">
        <f t="shared" si="3"/>
        <v>0.33333333333333331</v>
      </c>
      <c r="AP5" s="26">
        <f t="shared" si="3"/>
        <v>5.73394495412844E-2</v>
      </c>
      <c r="AQ5" s="26">
        <f t="shared" si="3"/>
        <v>4.8576214405360189E-2</v>
      </c>
      <c r="AS5" s="20">
        <v>2.5000000000000001E-4</v>
      </c>
      <c r="AT5" s="20">
        <v>6.7193682778462938E-2</v>
      </c>
      <c r="AU5" s="20">
        <v>2.7952217854809464E-2</v>
      </c>
      <c r="AV5" s="20">
        <v>0.21846392254434469</v>
      </c>
      <c r="AW5" s="20">
        <v>-0.49445039259115525</v>
      </c>
      <c r="AX5" s="20">
        <v>0.52320461714309874</v>
      </c>
      <c r="AY5" s="20">
        <v>0.19279328217374944</v>
      </c>
      <c r="AZ5" s="20">
        <v>0.85796071316649769</v>
      </c>
      <c r="BA5" s="20">
        <v>-0.29797214243654208</v>
      </c>
      <c r="BD5" s="20">
        <v>2.5000000000000001E-4</v>
      </c>
      <c r="BE5" s="20">
        <v>4.20594248586161E-2</v>
      </c>
      <c r="BF5" s="20">
        <v>1.4935072588076409E-2</v>
      </c>
      <c r="BG5" s="20">
        <v>0</v>
      </c>
      <c r="BH5" s="20">
        <v>0</v>
      </c>
      <c r="BI5" s="20">
        <v>0.3407536079280048</v>
      </c>
      <c r="BJ5" s="20">
        <v>0.10253229313463964</v>
      </c>
      <c r="BK5" s="20">
        <v>0.55671409893735513</v>
      </c>
      <c r="BL5" s="20">
        <v>0</v>
      </c>
      <c r="BQ5" s="27">
        <f t="shared" si="17"/>
        <v>0.39813590725502163</v>
      </c>
      <c r="BR5" s="20">
        <f t="shared" si="4"/>
        <v>6.7193682778462938E-2</v>
      </c>
      <c r="BS5" s="20">
        <f t="shared" si="5"/>
        <v>2.7952217854809464E-2</v>
      </c>
      <c r="CB5" s="18">
        <v>4</v>
      </c>
      <c r="CC5" s="19">
        <v>8.7531818155718241E-2</v>
      </c>
      <c r="CD5" s="19">
        <v>0.165945787653305</v>
      </c>
      <c r="CE5" s="19">
        <v>0.25915524457121802</v>
      </c>
      <c r="CF5" s="19">
        <v>0.27999439815547883</v>
      </c>
      <c r="CG5" s="19">
        <v>3.0419709149818879E-2</v>
      </c>
      <c r="CH5" s="19">
        <v>0.17695304231446105</v>
      </c>
      <c r="CI5" s="20">
        <v>4.7712804437282548E-3</v>
      </c>
      <c r="CJ5" s="20">
        <v>4.0886913350908306E-2</v>
      </c>
      <c r="CN5" s="18">
        <v>4</v>
      </c>
      <c r="CO5" s="19">
        <v>-0.16930510900298373</v>
      </c>
      <c r="CP5" s="19">
        <v>-0.38813131814906449</v>
      </c>
      <c r="CQ5" s="19">
        <v>0.83838469530137527</v>
      </c>
      <c r="CR5" s="19">
        <v>0.52265815957206174</v>
      </c>
      <c r="CS5" s="19">
        <v>0.33872418907831792</v>
      </c>
      <c r="CT5" s="19">
        <v>-0.14233061679970671</v>
      </c>
      <c r="CU5" s="20">
        <v>2.2321668281469354E-2</v>
      </c>
      <c r="CV5" s="20">
        <v>7.0406881795705159E-2</v>
      </c>
      <c r="DA5" s="18">
        <f t="shared" si="6"/>
        <v>4</v>
      </c>
      <c r="DB5" s="19">
        <f t="shared" si="7"/>
        <v>-0.16930510900298373</v>
      </c>
      <c r="DC5" s="19">
        <f t="shared" si="8"/>
        <v>-0.38813131814906449</v>
      </c>
      <c r="DD5" s="19">
        <f t="shared" si="9"/>
        <v>0.83838469530137527</v>
      </c>
      <c r="DE5" s="19">
        <f t="shared" si="10"/>
        <v>0.52265815957206174</v>
      </c>
      <c r="DF5" s="19">
        <f t="shared" si="11"/>
        <v>0.33872418907831792</v>
      </c>
      <c r="DG5" s="19">
        <f t="shared" si="12"/>
        <v>-0.14233061679970671</v>
      </c>
      <c r="DH5" s="20">
        <f t="shared" si="13"/>
        <v>2.2321668281469354E-2</v>
      </c>
      <c r="DI5" s="20">
        <f t="shared" si="14"/>
        <v>7.0406881795705159E-2</v>
      </c>
    </row>
    <row r="6" spans="1:116" ht="17.5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5" t="s">
        <v>35</v>
      </c>
      <c r="O6" s="6">
        <f>BA31</f>
        <v>5.8297088493792426E-3</v>
      </c>
      <c r="P6" s="6">
        <f>AZ31</f>
        <v>3.0154505788259716E-2</v>
      </c>
      <c r="Q6" s="3"/>
      <c r="S6" s="18">
        <v>34.880000000000003</v>
      </c>
      <c r="T6" s="18">
        <v>5.18</v>
      </c>
      <c r="U6" s="18">
        <v>138.5</v>
      </c>
      <c r="V6" s="18">
        <v>68.5</v>
      </c>
      <c r="W6" s="18">
        <v>5.19</v>
      </c>
      <c r="X6" s="18">
        <v>35.99</v>
      </c>
      <c r="AK6" s="25"/>
      <c r="AL6" s="26">
        <f t="shared" si="16"/>
        <v>6.6666666666666652E-2</v>
      </c>
      <c r="AM6" s="26">
        <f t="shared" si="3"/>
        <v>-4.0740740740740855E-2</v>
      </c>
      <c r="AN6" s="26">
        <f t="shared" si="3"/>
        <v>0.10358565737051793</v>
      </c>
      <c r="AO6" s="26">
        <f t="shared" si="3"/>
        <v>-0.14374999999999999</v>
      </c>
      <c r="AP6" s="26">
        <f t="shared" si="3"/>
        <v>0.12581344902386118</v>
      </c>
      <c r="AQ6" s="26">
        <f t="shared" si="3"/>
        <v>-4.1799787007454743E-2</v>
      </c>
      <c r="AS6" s="20">
        <v>5.0000000000000001E-4</v>
      </c>
      <c r="AT6" s="20">
        <v>6.9722795829519887E-2</v>
      </c>
      <c r="AU6" s="20">
        <v>2.8990178475660742E-2</v>
      </c>
      <c r="AV6" s="20">
        <v>0.22565180655846648</v>
      </c>
      <c r="AW6" s="20">
        <v>-0.52124382275391024</v>
      </c>
      <c r="AX6" s="20">
        <v>0.52528408715518227</v>
      </c>
      <c r="AY6" s="20">
        <v>0.20254540637814136</v>
      </c>
      <c r="AZ6" s="20">
        <v>0.88962722487782253</v>
      </c>
      <c r="BA6" s="20">
        <v>-0.32186470221570906</v>
      </c>
      <c r="BD6" s="20">
        <v>5.0000000000000001E-4</v>
      </c>
      <c r="BE6" s="20">
        <v>4.2395796153920549E-2</v>
      </c>
      <c r="BF6" s="20">
        <v>1.5051508584580493E-2</v>
      </c>
      <c r="BG6" s="20">
        <v>0</v>
      </c>
      <c r="BH6" s="20">
        <v>0</v>
      </c>
      <c r="BI6" s="20">
        <v>0.33211171223424352</v>
      </c>
      <c r="BJ6" s="20">
        <v>0.10387418276112075</v>
      </c>
      <c r="BK6" s="20">
        <v>0.56401410500463522</v>
      </c>
      <c r="BL6" s="20">
        <v>0</v>
      </c>
      <c r="BQ6" s="27">
        <f t="shared" si="17"/>
        <v>0.39858095397681509</v>
      </c>
      <c r="BR6" s="20">
        <f t="shared" si="4"/>
        <v>6.9722795829519887E-2</v>
      </c>
      <c r="BS6" s="20">
        <f t="shared" si="5"/>
        <v>2.8990178475660742E-2</v>
      </c>
      <c r="BY6" s="22" t="s">
        <v>43</v>
      </c>
      <c r="CB6" s="18">
        <v>5</v>
      </c>
      <c r="CC6" s="19">
        <v>0.16319952192743167</v>
      </c>
      <c r="CD6" s="19">
        <v>2.8827159497822406E-2</v>
      </c>
      <c r="CE6" s="19">
        <v>0.1773439071777089</v>
      </c>
      <c r="CF6" s="19">
        <v>0.2745909408686123</v>
      </c>
      <c r="CG6" s="19">
        <v>0.19615586040638838</v>
      </c>
      <c r="CH6" s="19">
        <v>0.15988261012203633</v>
      </c>
      <c r="CI6" s="20">
        <v>8.8414668447552702E-3</v>
      </c>
      <c r="CJ6" s="20">
        <v>4.0799502564364383E-2</v>
      </c>
      <c r="CN6" s="18">
        <v>5</v>
      </c>
      <c r="CO6" s="19">
        <v>-1.7794046275586473</v>
      </c>
      <c r="CP6" s="19">
        <v>1.6909490995687246</v>
      </c>
      <c r="CQ6" s="19">
        <v>1.0882895311153677</v>
      </c>
      <c r="CR6" s="19">
        <v>0.50495796931997816</v>
      </c>
      <c r="CS6" s="19">
        <v>-3.3766455514420697</v>
      </c>
      <c r="CT6" s="19">
        <v>2.871853578996646</v>
      </c>
      <c r="CU6" s="20">
        <v>-7.3170191233497425E-2</v>
      </c>
      <c r="CV6" s="20">
        <v>0.26703285248758496</v>
      </c>
      <c r="DA6" s="18">
        <f t="shared" si="6"/>
        <v>5</v>
      </c>
      <c r="DB6" s="19">
        <f t="shared" si="7"/>
        <v>-1.7794046275586473</v>
      </c>
      <c r="DC6" s="19">
        <f t="shared" si="8"/>
        <v>1.6909490995687246</v>
      </c>
      <c r="DD6" s="19">
        <f t="shared" si="9"/>
        <v>1.0882895311153677</v>
      </c>
      <c r="DE6" s="19">
        <f t="shared" si="10"/>
        <v>0.50495796931997816</v>
      </c>
      <c r="DF6" s="19">
        <f t="shared" si="11"/>
        <v>-3.3766455514420697</v>
      </c>
      <c r="DG6" s="19">
        <f t="shared" si="12"/>
        <v>2.871853578996646</v>
      </c>
      <c r="DH6" s="20">
        <f t="shared" si="13"/>
        <v>-7.3170191233497425E-2</v>
      </c>
      <c r="DI6" s="20">
        <f t="shared" si="14"/>
        <v>0.26703285248758496</v>
      </c>
    </row>
    <row r="7" spans="1:116" ht="17.5" x14ac:dyDescent="0.35">
      <c r="A7" s="3"/>
      <c r="B7" s="3"/>
      <c r="C7" s="5" t="s">
        <v>27</v>
      </c>
      <c r="D7" s="6">
        <f>BV2</f>
        <v>1.1999999999999999E-3</v>
      </c>
      <c r="E7" s="3"/>
      <c r="F7" s="3"/>
      <c r="G7" s="3"/>
      <c r="H7" s="3"/>
      <c r="I7" s="3"/>
      <c r="J7" s="3"/>
      <c r="K7" s="3"/>
      <c r="L7" s="3"/>
      <c r="M7" s="3"/>
      <c r="N7" s="5" t="s">
        <v>36</v>
      </c>
      <c r="O7" s="6">
        <f>BV3</f>
        <v>3.2785578370330089E-2</v>
      </c>
      <c r="P7" s="6">
        <f>BW3</f>
        <v>7.9136649585949334E-2</v>
      </c>
      <c r="Q7" s="3"/>
      <c r="S7" s="18">
        <v>31.37</v>
      </c>
      <c r="T7" s="18">
        <v>4.25</v>
      </c>
      <c r="U7" s="18">
        <v>145</v>
      </c>
      <c r="V7" s="18">
        <v>70</v>
      </c>
      <c r="W7" s="18">
        <v>5</v>
      </c>
      <c r="X7" s="18">
        <v>35.01</v>
      </c>
      <c r="AK7" s="25"/>
      <c r="AL7" s="26">
        <f t="shared" si="16"/>
        <v>-0.10063073394495417</v>
      </c>
      <c r="AM7" s="26">
        <f t="shared" si="3"/>
        <v>-0.17953667953667948</v>
      </c>
      <c r="AN7" s="26">
        <f>(U7-U6)/U6</f>
        <v>4.6931407942238268E-2</v>
      </c>
      <c r="AO7" s="26">
        <f t="shared" si="3"/>
        <v>2.1897810218978103E-2</v>
      </c>
      <c r="AP7" s="26">
        <f t="shared" si="3"/>
        <v>-3.6608863198458644E-2</v>
      </c>
      <c r="AQ7" s="26">
        <f t="shared" si="3"/>
        <v>-2.722978605168113E-2</v>
      </c>
      <c r="AS7" s="20">
        <v>7.5000000000000002E-4</v>
      </c>
      <c r="AT7" s="20">
        <v>7.2525670331181846E-2</v>
      </c>
      <c r="AU7" s="20">
        <v>3.0130441266091091E-2</v>
      </c>
      <c r="AV7" s="20">
        <v>0.2335476192860631</v>
      </c>
      <c r="AW7" s="20">
        <v>-0.55067790697327379</v>
      </c>
      <c r="AX7" s="20">
        <v>0.52756828563133784</v>
      </c>
      <c r="AY7" s="20">
        <v>0.2132585856519047</v>
      </c>
      <c r="AZ7" s="20">
        <v>0.92441505291258219</v>
      </c>
      <c r="BA7" s="20">
        <v>-0.34811163650862098</v>
      </c>
      <c r="BD7" s="20">
        <v>7.5000000000000002E-4</v>
      </c>
      <c r="BE7" s="20">
        <v>4.2755824343481685E-2</v>
      </c>
      <c r="BF7" s="20">
        <v>1.5174010396337957E-2</v>
      </c>
      <c r="BG7" s="20">
        <v>0</v>
      </c>
      <c r="BH7" s="20">
        <v>0</v>
      </c>
      <c r="BI7" s="20">
        <v>0.32301959134572023</v>
      </c>
      <c r="BJ7" s="20">
        <v>0.10528602164061378</v>
      </c>
      <c r="BK7" s="20">
        <v>0.57169438701366548</v>
      </c>
      <c r="BL7" s="20">
        <v>0</v>
      </c>
      <c r="BQ7" s="27">
        <f t="shared" si="17"/>
        <v>0.39889932949234214</v>
      </c>
      <c r="BR7" s="20">
        <f t="shared" si="4"/>
        <v>7.2525670331181846E-2</v>
      </c>
      <c r="BS7" s="20">
        <f t="shared" si="5"/>
        <v>3.0130441266091091E-2</v>
      </c>
      <c r="CB7" s="18">
        <v>6</v>
      </c>
      <c r="CC7" s="19">
        <v>0.25152432981321737</v>
      </c>
      <c r="CD7" s="19">
        <v>0.26205758306620897</v>
      </c>
      <c r="CE7" s="19">
        <v>0.15740820600993119</v>
      </c>
      <c r="CF7" s="19">
        <v>0.14158531633096605</v>
      </c>
      <c r="CG7" s="19">
        <v>0.16369698011967601</v>
      </c>
      <c r="CH7" s="19">
        <v>2.3727584660000429E-2</v>
      </c>
      <c r="CI7" s="20">
        <v>4.4591605448715882E-3</v>
      </c>
      <c r="CJ7" s="20">
        <v>3.9930576029163993E-2</v>
      </c>
      <c r="CN7" s="18">
        <v>6</v>
      </c>
      <c r="CO7" s="19">
        <v>-0.12102732936722606</v>
      </c>
      <c r="CP7" s="19">
        <v>0.12618181899060732</v>
      </c>
      <c r="CQ7" s="19">
        <v>0.32801690764726538</v>
      </c>
      <c r="CR7" s="19">
        <v>0.26087390610986955</v>
      </c>
      <c r="CS7" s="19">
        <v>0.35019682670229951</v>
      </c>
      <c r="CT7" s="19">
        <v>5.5757869917184261E-2</v>
      </c>
      <c r="CU7" s="20">
        <v>1.1594378927446775E-2</v>
      </c>
      <c r="CV7" s="20">
        <v>4.2412332882312144E-2</v>
      </c>
      <c r="DA7" s="18">
        <f t="shared" si="6"/>
        <v>6</v>
      </c>
      <c r="DB7" s="19">
        <f t="shared" si="7"/>
        <v>-0.12102732936722606</v>
      </c>
      <c r="DC7" s="19">
        <f t="shared" si="8"/>
        <v>0.12618181899060732</v>
      </c>
      <c r="DD7" s="19">
        <f t="shared" si="9"/>
        <v>0.32801690764726538</v>
      </c>
      <c r="DE7" s="19">
        <f t="shared" si="10"/>
        <v>0.26087390610986955</v>
      </c>
      <c r="DF7" s="19">
        <f t="shared" si="11"/>
        <v>0.35019682670229951</v>
      </c>
      <c r="DG7" s="19">
        <f t="shared" si="12"/>
        <v>5.5757869917184261E-2</v>
      </c>
      <c r="DH7" s="20">
        <f t="shared" si="13"/>
        <v>1.1594378927446775E-2</v>
      </c>
      <c r="DI7" s="20">
        <f t="shared" si="14"/>
        <v>4.2412332882312144E-2</v>
      </c>
    </row>
    <row r="8" spans="1:116" ht="17.5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5" t="s">
        <v>37</v>
      </c>
      <c r="O8" s="6">
        <f>D7</f>
        <v>1.1999999999999999E-3</v>
      </c>
      <c r="P8" s="7">
        <v>0</v>
      </c>
      <c r="Q8" s="3"/>
      <c r="S8" s="18">
        <v>34.64</v>
      </c>
      <c r="T8" s="18">
        <v>4.5199999999999996</v>
      </c>
      <c r="U8" s="18">
        <v>156</v>
      </c>
      <c r="V8" s="18">
        <v>86</v>
      </c>
      <c r="W8" s="18">
        <v>5.16</v>
      </c>
      <c r="X8" s="18">
        <v>37.590000000000003</v>
      </c>
      <c r="AC8" s="22" t="s">
        <v>10</v>
      </c>
      <c r="AD8" s="22" t="s">
        <v>0</v>
      </c>
      <c r="AE8" s="22" t="s">
        <v>1</v>
      </c>
      <c r="AF8" s="22" t="s">
        <v>2</v>
      </c>
      <c r="AG8" s="22" t="s">
        <v>3</v>
      </c>
      <c r="AH8" s="22" t="s">
        <v>4</v>
      </c>
      <c r="AI8" s="22" t="s">
        <v>5</v>
      </c>
      <c r="AK8" s="25"/>
      <c r="AL8" s="26">
        <f t="shared" si="16"/>
        <v>0.1042397194772075</v>
      </c>
      <c r="AM8" s="26">
        <f t="shared" si="3"/>
        <v>6.3529411764705779E-2</v>
      </c>
      <c r="AN8" s="26">
        <f t="shared" si="3"/>
        <v>7.586206896551724E-2</v>
      </c>
      <c r="AO8" s="26">
        <f t="shared" si="3"/>
        <v>0.22857142857142856</v>
      </c>
      <c r="AP8" s="26">
        <f t="shared" si="3"/>
        <v>3.2000000000000028E-2</v>
      </c>
      <c r="AQ8" s="26">
        <f t="shared" si="3"/>
        <v>7.3693230505570001E-2</v>
      </c>
      <c r="AS8" s="20">
        <v>1E-3</v>
      </c>
      <c r="AT8" s="20">
        <v>7.5645828519120384E-2</v>
      </c>
      <c r="AU8" s="20">
        <v>3.1389023465423778E-2</v>
      </c>
      <c r="AV8" s="20">
        <v>0.2422621811561648</v>
      </c>
      <c r="AW8" s="20">
        <v>-0.58316615040811914</v>
      </c>
      <c r="AX8" s="20">
        <v>0.53008869835727968</v>
      </c>
      <c r="AY8" s="20">
        <v>0.22508302555759849</v>
      </c>
      <c r="AZ8" s="20">
        <v>0.96281322835124339</v>
      </c>
      <c r="BA8" s="20">
        <v>-0.37708098301417414</v>
      </c>
      <c r="BD8" s="20">
        <v>1E-3</v>
      </c>
      <c r="BE8" s="20">
        <v>4.3141741046552842E-2</v>
      </c>
      <c r="BF8" s="20">
        <v>1.5303064337490947E-2</v>
      </c>
      <c r="BG8" s="20">
        <v>0</v>
      </c>
      <c r="BH8" s="20">
        <v>0</v>
      </c>
      <c r="BI8" s="20">
        <v>0.31344117249120051</v>
      </c>
      <c r="BJ8" s="20">
        <v>0.10677336751790578</v>
      </c>
      <c r="BK8" s="20">
        <v>0.57978545999089315</v>
      </c>
      <c r="BL8" s="20">
        <v>0</v>
      </c>
      <c r="BQ8" s="27">
        <f t="shared" si="17"/>
        <v>0.3990837836853508</v>
      </c>
      <c r="BR8" s="20">
        <f t="shared" si="4"/>
        <v>7.5645828519120384E-2</v>
      </c>
      <c r="BS8" s="20">
        <f t="shared" si="5"/>
        <v>3.1389023465423778E-2</v>
      </c>
      <c r="CB8" s="18">
        <v>7</v>
      </c>
      <c r="CC8" s="19">
        <v>0.11469715397028153</v>
      </c>
      <c r="CD8" s="19">
        <v>0.1763509309914684</v>
      </c>
      <c r="CE8" s="19">
        <v>1.1697598393094035E-2</v>
      </c>
      <c r="CF8" s="19">
        <v>9.490460293255297E-2</v>
      </c>
      <c r="CG8" s="19">
        <v>0.2612749074075893</v>
      </c>
      <c r="CH8" s="19">
        <v>0.34107480630501374</v>
      </c>
      <c r="CI8" s="20">
        <v>5.3350739374620742E-3</v>
      </c>
      <c r="CJ8" s="20">
        <v>3.9027911954240053E-2</v>
      </c>
      <c r="CN8" s="18">
        <v>7</v>
      </c>
      <c r="CO8" s="19">
        <v>0.81224400904071392</v>
      </c>
      <c r="CP8" s="19">
        <v>7.4330893459375977E-2</v>
      </c>
      <c r="CQ8" s="19">
        <v>-9.9450593527441698E-3</v>
      </c>
      <c r="CR8" s="19">
        <v>0.83646568847528235</v>
      </c>
      <c r="CS8" s="19">
        <v>-0.49908537668428943</v>
      </c>
      <c r="CT8" s="19">
        <v>-0.21401015493833869</v>
      </c>
      <c r="CU8" s="20">
        <v>1.8514504803649248E-3</v>
      </c>
      <c r="CV8" s="20">
        <v>0.10339945112186913</v>
      </c>
      <c r="DA8" s="18">
        <f t="shared" si="6"/>
        <v>7</v>
      </c>
      <c r="DB8" s="19">
        <f t="shared" si="7"/>
        <v>0.81224400904071392</v>
      </c>
      <c r="DC8" s="19">
        <f t="shared" si="8"/>
        <v>7.4330893459375977E-2</v>
      </c>
      <c r="DD8" s="19">
        <f t="shared" si="9"/>
        <v>-9.9450593527441698E-3</v>
      </c>
      <c r="DE8" s="19">
        <f t="shared" si="10"/>
        <v>0.83646568847528235</v>
      </c>
      <c r="DF8" s="19">
        <f t="shared" si="11"/>
        <v>-0.49908537668428943</v>
      </c>
      <c r="DG8" s="19">
        <f t="shared" si="12"/>
        <v>-0.21401015493833869</v>
      </c>
      <c r="DH8" s="20">
        <f t="shared" si="13"/>
        <v>1.8514504803649248E-3</v>
      </c>
      <c r="DI8" s="20">
        <f t="shared" si="14"/>
        <v>0.10339945112186913</v>
      </c>
    </row>
    <row r="9" spans="1:116" x14ac:dyDescent="0.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S9" s="18">
        <v>35.75</v>
      </c>
      <c r="T9" s="18">
        <v>4.74</v>
      </c>
      <c r="U9" s="18">
        <v>153.5</v>
      </c>
      <c r="V9" s="18">
        <v>96</v>
      </c>
      <c r="W9" s="18">
        <v>5.42</v>
      </c>
      <c r="X9" s="18">
        <v>38.18</v>
      </c>
      <c r="AC9" s="22" t="s">
        <v>0</v>
      </c>
      <c r="AD9" s="19" cm="1">
        <f t="array" ref="AD9:AI14">Var_Covar(AL2:AQ73)</f>
        <v>5.21330760009451E-3</v>
      </c>
      <c r="AE9" s="19">
        <v>1.6028481245721883E-3</v>
      </c>
      <c r="AF9" s="19">
        <v>2.6900312973020219E-4</v>
      </c>
      <c r="AG9" s="19">
        <v>1.3703604943511246E-3</v>
      </c>
      <c r="AH9" s="19">
        <v>-8.8896065852688778E-5</v>
      </c>
      <c r="AI9" s="19">
        <v>1.6774444893070265E-3</v>
      </c>
      <c r="AK9" s="25"/>
      <c r="AL9" s="26">
        <f t="shared" si="16"/>
        <v>3.2043879907621232E-2</v>
      </c>
      <c r="AM9" s="26">
        <f t="shared" si="3"/>
        <v>4.8672566371681561E-2</v>
      </c>
      <c r="AN9" s="26">
        <f t="shared" si="3"/>
        <v>-1.6025641025641024E-2</v>
      </c>
      <c r="AO9" s="26">
        <f t="shared" si="3"/>
        <v>0.11627906976744186</v>
      </c>
      <c r="AP9" s="26">
        <f t="shared" si="3"/>
        <v>5.0387596899224764E-2</v>
      </c>
      <c r="AQ9" s="26">
        <f t="shared" si="3"/>
        <v>1.5695663740356379E-2</v>
      </c>
      <c r="AS9" s="20">
        <v>1.25E-3</v>
      </c>
      <c r="AT9" s="20">
        <v>7.9136649585949334E-2</v>
      </c>
      <c r="AU9" s="20">
        <v>3.2785578370330089E-2</v>
      </c>
      <c r="AV9" s="20">
        <v>0.25193131006501185</v>
      </c>
      <c r="AW9" s="20">
        <v>-0.61921543782937016</v>
      </c>
      <c r="AX9" s="20">
        <v>0.53288347089042043</v>
      </c>
      <c r="AY9" s="20">
        <v>0.23820351959946259</v>
      </c>
      <c r="AZ9" s="20">
        <v>1.0054218086276219</v>
      </c>
      <c r="BA9" s="20">
        <v>-0.40922467135315321</v>
      </c>
      <c r="BD9" s="20">
        <v>1.25E-3</v>
      </c>
      <c r="BE9" s="20">
        <v>4.3556041854854094E-2</v>
      </c>
      <c r="BF9" s="20">
        <v>1.5439209288229474E-2</v>
      </c>
      <c r="BG9" s="20">
        <v>0</v>
      </c>
      <c r="BH9" s="20">
        <v>0</v>
      </c>
      <c r="BI9" s="20">
        <v>0.30333643551073003</v>
      </c>
      <c r="BJ9" s="20">
        <v>0.10834248394407851</v>
      </c>
      <c r="BK9" s="20">
        <v>0.58832108054519083</v>
      </c>
      <c r="BL9" s="20">
        <v>0</v>
      </c>
      <c r="BQ9" s="27">
        <f t="shared" si="17"/>
        <v>0.39912706104679579</v>
      </c>
      <c r="BR9" s="20">
        <f t="shared" si="4"/>
        <v>7.9136649585949334E-2</v>
      </c>
      <c r="BS9" s="20">
        <f t="shared" si="5"/>
        <v>3.2785578370330089E-2</v>
      </c>
      <c r="CB9" s="18">
        <v>8</v>
      </c>
      <c r="CC9" s="19">
        <v>0.25866228091668408</v>
      </c>
      <c r="CD9" s="19">
        <v>0.36174916971390869</v>
      </c>
      <c r="CE9" s="19">
        <v>1.9892660035457897E-2</v>
      </c>
      <c r="CF9" s="19">
        <v>0.18793424941963419</v>
      </c>
      <c r="CG9" s="19">
        <v>2.7323871360450579E-2</v>
      </c>
      <c r="CH9" s="19">
        <v>0.14443776855386453</v>
      </c>
      <c r="CI9" s="20">
        <v>6.1123862204406161E-4</v>
      </c>
      <c r="CJ9" s="20">
        <v>4.7258001633786496E-2</v>
      </c>
      <c r="CN9" s="18">
        <v>8</v>
      </c>
      <c r="CO9" s="19">
        <v>0.52622904463501396</v>
      </c>
      <c r="CP9" s="19">
        <v>1.1039166871694399</v>
      </c>
      <c r="CQ9" s="19">
        <v>-1.7032308656426423E-2</v>
      </c>
      <c r="CR9" s="19">
        <v>1.8252434961539608</v>
      </c>
      <c r="CS9" s="19">
        <v>-8.7182208270632985E-2</v>
      </c>
      <c r="CT9" s="19">
        <v>-2.3511747110313554</v>
      </c>
      <c r="CU9" s="20">
        <v>1.6009274096531041E-2</v>
      </c>
      <c r="CV9" s="20">
        <v>0.190884286096798</v>
      </c>
      <c r="DA9" s="18">
        <f t="shared" si="6"/>
        <v>8</v>
      </c>
      <c r="DB9" s="19">
        <f t="shared" si="7"/>
        <v>0.52622904463501396</v>
      </c>
      <c r="DC9" s="19">
        <f t="shared" si="8"/>
        <v>1.1039166871694399</v>
      </c>
      <c r="DD9" s="19">
        <f t="shared" si="9"/>
        <v>-1.7032308656426423E-2</v>
      </c>
      <c r="DE9" s="19">
        <f t="shared" si="10"/>
        <v>1.8252434961539608</v>
      </c>
      <c r="DF9" s="19">
        <f t="shared" si="11"/>
        <v>-8.7182208270632985E-2</v>
      </c>
      <c r="DG9" s="19">
        <f t="shared" si="12"/>
        <v>-2.3511747110313554</v>
      </c>
      <c r="DH9" s="20">
        <f t="shared" si="13"/>
        <v>1.6009274096531041E-2</v>
      </c>
      <c r="DI9" s="20">
        <f t="shared" si="14"/>
        <v>0.190884286096798</v>
      </c>
      <c r="DJ9" s="2"/>
    </row>
    <row r="10" spans="1:116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S10" s="18">
        <v>35.74</v>
      </c>
      <c r="T10" s="18">
        <v>4.6100000000000003</v>
      </c>
      <c r="U10" s="18">
        <v>156.5</v>
      </c>
      <c r="V10" s="18">
        <v>100</v>
      </c>
      <c r="W10" s="18">
        <v>5.65</v>
      </c>
      <c r="X10" s="18">
        <v>38.31</v>
      </c>
      <c r="AC10" s="22" t="s">
        <v>1</v>
      </c>
      <c r="AD10" s="19">
        <v>1.6028481245721883E-3</v>
      </c>
      <c r="AE10" s="19">
        <v>4.9349544062755549E-3</v>
      </c>
      <c r="AF10" s="19">
        <v>2.7379087796279279E-4</v>
      </c>
      <c r="AG10" s="19">
        <v>9.2099863583607739E-4</v>
      </c>
      <c r="AH10" s="19">
        <v>7.4041635598686936E-4</v>
      </c>
      <c r="AI10" s="19">
        <v>8.2259708940337695E-4</v>
      </c>
      <c r="AK10" s="25"/>
      <c r="AL10" s="26">
        <f t="shared" si="16"/>
        <v>-2.7972027972022405E-4</v>
      </c>
      <c r="AM10" s="26">
        <f t="shared" si="3"/>
        <v>-2.742616033755272E-2</v>
      </c>
      <c r="AN10" s="26">
        <f t="shared" si="3"/>
        <v>1.9543973941368076E-2</v>
      </c>
      <c r="AO10" s="26">
        <f t="shared" si="3"/>
        <v>4.1666666666666664E-2</v>
      </c>
      <c r="AP10" s="26">
        <f t="shared" si="3"/>
        <v>4.243542435424362E-2</v>
      </c>
      <c r="AQ10" s="26">
        <f t="shared" si="3"/>
        <v>3.4049240440021623E-3</v>
      </c>
      <c r="AS10" s="20">
        <v>1.5E-3</v>
      </c>
      <c r="AT10" s="20">
        <v>8.3064585176998704E-2</v>
      </c>
      <c r="AU10" s="20">
        <v>3.434458713669563E-2</v>
      </c>
      <c r="AV10" s="20">
        <v>0.2627213563277771</v>
      </c>
      <c r="AW10" s="20">
        <v>-0.65945832909029911</v>
      </c>
      <c r="AX10" s="20">
        <v>0.53599759013179527</v>
      </c>
      <c r="AY10" s="20">
        <v>0.25285118159457687</v>
      </c>
      <c r="AZ10" s="20">
        <v>1.0529882007535287</v>
      </c>
      <c r="BA10" s="20">
        <v>-0.44509999971738567</v>
      </c>
      <c r="BD10" s="20">
        <v>1.5E-3</v>
      </c>
      <c r="BE10" s="20">
        <v>4.4001542436436995E-2</v>
      </c>
      <c r="BF10" s="20">
        <v>1.5583049777156339E-2</v>
      </c>
      <c r="BG10" s="20">
        <v>0</v>
      </c>
      <c r="BH10" s="20">
        <v>0</v>
      </c>
      <c r="BI10" s="20">
        <v>0.29266056596516793</v>
      </c>
      <c r="BJ10" s="20">
        <v>0.11000022088744583</v>
      </c>
      <c r="BK10" s="20">
        <v>0.59733921314738569</v>
      </c>
      <c r="BL10" s="20">
        <v>0</v>
      </c>
      <c r="BQ10" s="27">
        <f t="shared" si="17"/>
        <v>0.39902188238307906</v>
      </c>
      <c r="BR10" s="20">
        <f t="shared" si="4"/>
        <v>8.3064585176998704E-2</v>
      </c>
      <c r="BS10" s="20">
        <f t="shared" si="5"/>
        <v>3.434458713669563E-2</v>
      </c>
      <c r="CB10" s="18">
        <v>9</v>
      </c>
      <c r="CC10" s="19">
        <v>0.16184009207553102</v>
      </c>
      <c r="CD10" s="19">
        <v>0.1389343825873578</v>
      </c>
      <c r="CE10" s="19">
        <v>0.16006723083953786</v>
      </c>
      <c r="CF10" s="19">
        <v>8.846224051109336E-2</v>
      </c>
      <c r="CG10" s="19">
        <v>0.24403027809607147</v>
      </c>
      <c r="CH10" s="19">
        <v>0.20666577589040847</v>
      </c>
      <c r="CI10" s="20">
        <v>6.2105215046590057E-3</v>
      </c>
      <c r="CJ10" s="20">
        <v>3.5242246814451032E-2</v>
      </c>
      <c r="CN10" s="18">
        <v>9</v>
      </c>
      <c r="CO10" s="19">
        <v>0.17826350395837456</v>
      </c>
      <c r="CP10" s="19">
        <v>1.2686064300419222</v>
      </c>
      <c r="CQ10" s="19">
        <v>0.48752321594119102</v>
      </c>
      <c r="CR10" s="19">
        <v>-0.18255513849552754</v>
      </c>
      <c r="CS10" s="19">
        <v>0.5983177901325113</v>
      </c>
      <c r="CT10" s="19">
        <v>-1.3501558015784716</v>
      </c>
      <c r="CU10" s="20">
        <v>3.0557011160282917E-3</v>
      </c>
      <c r="CV10" s="20">
        <v>0.11268470455972768</v>
      </c>
      <c r="DA10" s="18">
        <f t="shared" si="6"/>
        <v>9</v>
      </c>
      <c r="DB10" s="19">
        <f t="shared" si="7"/>
        <v>0.17826350395837456</v>
      </c>
      <c r="DC10" s="19">
        <f t="shared" si="8"/>
        <v>1.2686064300419222</v>
      </c>
      <c r="DD10" s="19">
        <f t="shared" si="9"/>
        <v>0.48752321594119102</v>
      </c>
      <c r="DE10" s="19">
        <f t="shared" si="10"/>
        <v>-0.18255513849552754</v>
      </c>
      <c r="DF10" s="19">
        <f t="shared" si="11"/>
        <v>0.5983177901325113</v>
      </c>
      <c r="DG10" s="19">
        <f t="shared" si="12"/>
        <v>-1.3501558015784716</v>
      </c>
      <c r="DH10" s="20">
        <f t="shared" si="13"/>
        <v>3.0557011160282917E-3</v>
      </c>
      <c r="DI10" s="20">
        <f t="shared" si="14"/>
        <v>0.11268470455972768</v>
      </c>
      <c r="DJ10" s="2"/>
      <c r="DL10" s="2"/>
    </row>
    <row r="11" spans="1:116" x14ac:dyDescent="0.3">
      <c r="A11" s="3"/>
      <c r="B11" s="3"/>
      <c r="C11" s="10"/>
      <c r="D11" s="10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S11" s="18">
        <v>37.659999999999997</v>
      </c>
      <c r="T11" s="18">
        <v>4.74</v>
      </c>
      <c r="U11" s="18">
        <v>165</v>
      </c>
      <c r="V11" s="18">
        <v>101</v>
      </c>
      <c r="W11" s="18">
        <v>5.42</v>
      </c>
      <c r="X11" s="18">
        <v>38.82</v>
      </c>
      <c r="AC11" s="22" t="s">
        <v>2</v>
      </c>
      <c r="AD11" s="19">
        <v>2.6900312973020219E-4</v>
      </c>
      <c r="AE11" s="19">
        <v>2.7379087796279279E-4</v>
      </c>
      <c r="AF11" s="19">
        <v>1.7007972385056497E-3</v>
      </c>
      <c r="AG11" s="19">
        <v>8.1476000231044208E-4</v>
      </c>
      <c r="AH11" s="19">
        <v>6.4763014556334196E-5</v>
      </c>
      <c r="AI11" s="19">
        <v>2.6838886712500851E-4</v>
      </c>
      <c r="AK11" s="25"/>
      <c r="AL11" s="26">
        <f t="shared" si="16"/>
        <v>5.3721320649132473E-2</v>
      </c>
      <c r="AM11" s="26">
        <f t="shared" si="3"/>
        <v>2.8199566160520582E-2</v>
      </c>
      <c r="AN11" s="26">
        <f t="shared" si="3"/>
        <v>5.4313099041533544E-2</v>
      </c>
      <c r="AO11" s="26">
        <f t="shared" si="3"/>
        <v>0.01</v>
      </c>
      <c r="AP11" s="26">
        <f t="shared" si="3"/>
        <v>-4.0707964601769987E-2</v>
      </c>
      <c r="AQ11" s="26">
        <f t="shared" si="3"/>
        <v>1.3312451057165178E-2</v>
      </c>
      <c r="AS11" s="20">
        <v>1.7500000000000003E-3</v>
      </c>
      <c r="AT11" s="20">
        <v>8.7513578585381224E-2</v>
      </c>
      <c r="AU11" s="20">
        <v>3.6096991210223799E-2</v>
      </c>
      <c r="AV11" s="20">
        <v>0.27484121076545776</v>
      </c>
      <c r="AW11" s="20">
        <v>-0.7046926777991922</v>
      </c>
      <c r="AX11" s="20">
        <v>0.53947983749675588</v>
      </c>
      <c r="AY11" s="20">
        <v>0.26932015722802422</v>
      </c>
      <c r="AZ11" s="20">
        <v>1.106458853123675</v>
      </c>
      <c r="BA11" s="20">
        <v>-0.48540738081472734</v>
      </c>
      <c r="BD11" s="20">
        <v>1.7500000000000003E-3</v>
      </c>
      <c r="BE11" s="20">
        <v>4.4481389682109386E-2</v>
      </c>
      <c r="BF11" s="20">
        <v>1.5735253504116323E-2</v>
      </c>
      <c r="BG11" s="20">
        <v>0</v>
      </c>
      <c r="BH11" s="20">
        <v>0</v>
      </c>
      <c r="BI11" s="20">
        <v>0.28136395192033448</v>
      </c>
      <c r="BJ11" s="20">
        <v>0.11175439348168929</v>
      </c>
      <c r="BK11" s="20">
        <v>0.60688165459797572</v>
      </c>
      <c r="BL11" s="20">
        <v>0</v>
      </c>
      <c r="BQ11" s="27">
        <f t="shared" si="17"/>
        <v>0.39876087544719824</v>
      </c>
      <c r="BR11" s="20">
        <f t="shared" si="4"/>
        <v>8.7513578585381224E-2</v>
      </c>
      <c r="BS11" s="20">
        <f t="shared" si="5"/>
        <v>3.6096991210223799E-2</v>
      </c>
      <c r="CB11" s="18">
        <v>10</v>
      </c>
      <c r="CC11" s="19">
        <v>0.26106451664243024</v>
      </c>
      <c r="CD11" s="19">
        <v>0.19565996593145105</v>
      </c>
      <c r="CE11" s="19">
        <v>0.33207993973896738</v>
      </c>
      <c r="CF11" s="19">
        <v>7.3867537973278288E-2</v>
      </c>
      <c r="CG11" s="19">
        <v>2.7026485147518285E-2</v>
      </c>
      <c r="CH11" s="19">
        <v>0.11030155456635475</v>
      </c>
      <c r="CI11" s="20">
        <v>2.2897550925873615E-3</v>
      </c>
      <c r="CJ11" s="20">
        <v>3.6970472038769429E-2</v>
      </c>
      <c r="CN11" s="18">
        <v>10</v>
      </c>
      <c r="CO11" s="19">
        <v>-0.75099390625565343</v>
      </c>
      <c r="CP11" s="19">
        <v>-0.58801006028022873</v>
      </c>
      <c r="CQ11" s="19">
        <v>8.5894125845792594E-3</v>
      </c>
      <c r="CR11" s="19">
        <v>1.0104380039338499</v>
      </c>
      <c r="CS11" s="19">
        <v>0.8101421873680873</v>
      </c>
      <c r="CT11" s="19">
        <v>0.50983436264936566</v>
      </c>
      <c r="CU11" s="20">
        <v>3.4390498581176092E-2</v>
      </c>
      <c r="CV11" s="20">
        <v>0.12525251734328613</v>
      </c>
      <c r="DA11" s="18">
        <f t="shared" si="6"/>
        <v>10</v>
      </c>
      <c r="DB11" s="19">
        <f t="shared" si="7"/>
        <v>-0.75099390625565343</v>
      </c>
      <c r="DC11" s="19">
        <f t="shared" si="8"/>
        <v>-0.58801006028022873</v>
      </c>
      <c r="DD11" s="19">
        <f t="shared" si="9"/>
        <v>8.5894125845792594E-3</v>
      </c>
      <c r="DE11" s="19">
        <f t="shared" si="10"/>
        <v>1.0104380039338499</v>
      </c>
      <c r="DF11" s="19">
        <f t="shared" si="11"/>
        <v>0.8101421873680873</v>
      </c>
      <c r="DG11" s="19">
        <f t="shared" si="12"/>
        <v>0.50983436264936566</v>
      </c>
      <c r="DH11" s="20">
        <f t="shared" si="13"/>
        <v>3.4390498581176092E-2</v>
      </c>
      <c r="DI11" s="20">
        <f t="shared" si="14"/>
        <v>0.12525251734328613</v>
      </c>
      <c r="DJ11" s="2"/>
    </row>
    <row r="12" spans="1:116" x14ac:dyDescent="0.3">
      <c r="A12" s="3"/>
      <c r="B12" s="3"/>
      <c r="C12" s="10"/>
      <c r="D12" s="10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S12" s="18">
        <v>37.39</v>
      </c>
      <c r="T12" s="18">
        <v>4.66</v>
      </c>
      <c r="U12" s="18">
        <v>163.5</v>
      </c>
      <c r="V12" s="18">
        <v>120</v>
      </c>
      <c r="W12" s="18">
        <v>5.35</v>
      </c>
      <c r="X12" s="18">
        <v>37.4</v>
      </c>
      <c r="AC12" s="22" t="s">
        <v>3</v>
      </c>
      <c r="AD12" s="19">
        <v>1.3703604943511246E-3</v>
      </c>
      <c r="AE12" s="19">
        <v>9.2099863583607739E-4</v>
      </c>
      <c r="AF12" s="19">
        <v>8.1476000231044208E-4</v>
      </c>
      <c r="AG12" s="19">
        <v>8.197865821430235E-3</v>
      </c>
      <c r="AH12" s="19">
        <v>9.4471797185142863E-4</v>
      </c>
      <c r="AI12" s="19">
        <v>1.4660524986844596E-3</v>
      </c>
      <c r="AK12" s="25"/>
      <c r="AL12" s="26">
        <f t="shared" si="16"/>
        <v>-7.1694105151353174E-3</v>
      </c>
      <c r="AM12" s="26">
        <f t="shared" si="3"/>
        <v>-1.6877637130801704E-2</v>
      </c>
      <c r="AN12" s="26">
        <f t="shared" si="3"/>
        <v>-9.0909090909090905E-3</v>
      </c>
      <c r="AO12" s="26">
        <f t="shared" si="3"/>
        <v>0.18811881188118812</v>
      </c>
      <c r="AP12" s="26">
        <f t="shared" si="3"/>
        <v>-1.2915129151291565E-2</v>
      </c>
      <c r="AQ12" s="26">
        <f t="shared" si="3"/>
        <v>-3.6579082946934613E-2</v>
      </c>
      <c r="AS12" s="20">
        <v>2E-3</v>
      </c>
      <c r="AT12" s="20">
        <v>9.2541757332714927E-2</v>
      </c>
      <c r="AU12" s="20">
        <v>3.8063186095232175E-2</v>
      </c>
      <c r="AV12" s="20">
        <v>0.28849744352775036</v>
      </c>
      <c r="AW12" s="20">
        <v>-0.75545138871603124</v>
      </c>
      <c r="AX12" s="20">
        <v>0.54346265595482168</v>
      </c>
      <c r="AY12" s="20">
        <v>0.28779082846834386</v>
      </c>
      <c r="AZ12" s="20">
        <v>1.1664277841909725</v>
      </c>
      <c r="BA12" s="20">
        <v>-0.53072732342586382</v>
      </c>
      <c r="BD12" s="20">
        <v>2E-3</v>
      </c>
      <c r="BE12" s="20">
        <v>4.499915027763339E-2</v>
      </c>
      <c r="BF12" s="20">
        <v>1.5896572980440865E-2</v>
      </c>
      <c r="BG12" s="20">
        <v>0</v>
      </c>
      <c r="BH12" s="20">
        <v>0</v>
      </c>
      <c r="BI12" s="20">
        <v>0.26939075657861022</v>
      </c>
      <c r="BJ12" s="20">
        <v>0.11361364219352436</v>
      </c>
      <c r="BK12" s="20">
        <v>0.6169956012278649</v>
      </c>
      <c r="BL12" s="20">
        <v>0</v>
      </c>
      <c r="BQ12" s="27">
        <f t="shared" si="17"/>
        <v>0.39834110738461714</v>
      </c>
      <c r="BR12" s="20">
        <f t="shared" si="4"/>
        <v>9.2541757332714927E-2</v>
      </c>
      <c r="BS12" s="20">
        <f t="shared" si="5"/>
        <v>3.8063186095232175E-2</v>
      </c>
      <c r="CB12" s="18">
        <v>11</v>
      </c>
      <c r="CC12" s="19">
        <v>0.21270551205832694</v>
      </c>
      <c r="CD12" s="19">
        <v>0.26673137810374686</v>
      </c>
      <c r="CE12" s="19">
        <v>9.6832518443102186E-2</v>
      </c>
      <c r="CF12" s="19">
        <v>0.19186532177006649</v>
      </c>
      <c r="CG12" s="19">
        <v>0.22192781107045911</v>
      </c>
      <c r="CH12" s="19">
        <v>9.9374585542983829E-3</v>
      </c>
      <c r="CI12" s="20">
        <v>5.9040811461776111E-3</v>
      </c>
      <c r="CJ12" s="20">
        <v>4.1665995120437178E-2</v>
      </c>
      <c r="CN12" s="18">
        <v>11</v>
      </c>
      <c r="CO12" s="19">
        <v>1.207137063620106</v>
      </c>
      <c r="CP12" s="19">
        <v>-1.9083168792108496</v>
      </c>
      <c r="CQ12" s="19">
        <v>7.6444837190810244E-2</v>
      </c>
      <c r="CR12" s="19">
        <v>1.0906231608455703</v>
      </c>
      <c r="CS12" s="19">
        <v>1.275796974296161</v>
      </c>
      <c r="CT12" s="19">
        <v>-0.74168515674179791</v>
      </c>
      <c r="CU12" s="20">
        <v>5.9407298181245384E-2</v>
      </c>
      <c r="CV12" s="20">
        <v>0.17635814420622581</v>
      </c>
      <c r="DA12" s="18">
        <f t="shared" si="6"/>
        <v>11</v>
      </c>
      <c r="DB12" s="19">
        <f t="shared" si="7"/>
        <v>1.207137063620106</v>
      </c>
      <c r="DC12" s="19">
        <f t="shared" si="8"/>
        <v>-1.9083168792108496</v>
      </c>
      <c r="DD12" s="19">
        <f t="shared" si="9"/>
        <v>7.6444837190810244E-2</v>
      </c>
      <c r="DE12" s="19">
        <f t="shared" si="10"/>
        <v>1.0906231608455703</v>
      </c>
      <c r="DF12" s="19">
        <f t="shared" si="11"/>
        <v>1.275796974296161</v>
      </c>
      <c r="DG12" s="19">
        <f t="shared" si="12"/>
        <v>-0.74168515674179791</v>
      </c>
      <c r="DH12" s="20">
        <f t="shared" si="13"/>
        <v>5.9407298181245384E-2</v>
      </c>
      <c r="DI12" s="20">
        <f t="shared" si="14"/>
        <v>0.17635814420622581</v>
      </c>
      <c r="DJ12" s="2"/>
    </row>
    <row r="13" spans="1:116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S13" s="18">
        <v>37.99</v>
      </c>
      <c r="T13" s="18">
        <v>4.3899999999999997</v>
      </c>
      <c r="U13" s="18">
        <v>167</v>
      </c>
      <c r="V13" s="18">
        <v>128</v>
      </c>
      <c r="W13" s="18">
        <v>5.3</v>
      </c>
      <c r="X13" s="18">
        <v>38.9</v>
      </c>
      <c r="AC13" s="22" t="s">
        <v>4</v>
      </c>
      <c r="AD13" s="19">
        <v>-8.8896065852688778E-5</v>
      </c>
      <c r="AE13" s="19">
        <v>7.4041635598686936E-4</v>
      </c>
      <c r="AF13" s="19">
        <v>6.4763014556334196E-5</v>
      </c>
      <c r="AG13" s="19">
        <v>9.4471797185142863E-4</v>
      </c>
      <c r="AH13" s="19">
        <v>4.1814918262480594E-3</v>
      </c>
      <c r="AI13" s="19">
        <v>3.6091690115301015E-4</v>
      </c>
      <c r="AK13" s="25"/>
      <c r="AL13" s="26">
        <f t="shared" si="16"/>
        <v>1.604707140946781E-2</v>
      </c>
      <c r="AM13" s="26">
        <f t="shared" si="3"/>
        <v>-5.7939914163090224E-2</v>
      </c>
      <c r="AN13" s="26">
        <f t="shared" si="3"/>
        <v>2.1406727828746176E-2</v>
      </c>
      <c r="AO13" s="26">
        <f t="shared" si="3"/>
        <v>6.6666666666666666E-2</v>
      </c>
      <c r="AP13" s="26">
        <f t="shared" si="3"/>
        <v>-9.3457943925233326E-3</v>
      </c>
      <c r="AQ13" s="26">
        <f t="shared" si="3"/>
        <v>4.0106951871657755E-2</v>
      </c>
      <c r="AS13" s="20">
        <v>2.2499999999999998E-3</v>
      </c>
      <c r="AT13" s="20">
        <v>9.834206553091368E-2</v>
      </c>
      <c r="AU13" s="20">
        <v>4.0315679047120245E-2</v>
      </c>
      <c r="AV13" s="20">
        <v>0.30411097353709704</v>
      </c>
      <c r="AW13" s="20">
        <v>-0.81359573124663798</v>
      </c>
      <c r="AX13" s="20">
        <v>0.54797330240128272</v>
      </c>
      <c r="AY13" s="20">
        <v>0.30894773378919971</v>
      </c>
      <c r="AZ13" s="20">
        <v>1.2351516078547007</v>
      </c>
      <c r="BA13" s="20">
        <v>-0.58258788633564873</v>
      </c>
      <c r="BD13" s="20">
        <v>2.2499999999999998E-3</v>
      </c>
      <c r="BE13" s="20">
        <v>4.5558858225300029E-2</v>
      </c>
      <c r="BF13" s="20">
        <v>1.6067852437110473E-2</v>
      </c>
      <c r="BG13" s="20">
        <v>0</v>
      </c>
      <c r="BH13" s="20">
        <v>0</v>
      </c>
      <c r="BI13" s="20">
        <v>0.25667832030498972</v>
      </c>
      <c r="BJ13" s="20">
        <v>0.11558769804353923</v>
      </c>
      <c r="BK13" s="20">
        <v>0.62773398165147054</v>
      </c>
      <c r="BL13" s="20">
        <v>0</v>
      </c>
      <c r="BQ13" s="27">
        <f t="shared" si="17"/>
        <v>0.39775124547108776</v>
      </c>
      <c r="BR13" s="20">
        <f t="shared" si="4"/>
        <v>9.834206553091368E-2</v>
      </c>
      <c r="BS13" s="20">
        <f t="shared" si="5"/>
        <v>4.0315679047120245E-2</v>
      </c>
      <c r="CB13" s="18">
        <v>12</v>
      </c>
      <c r="CC13" s="19">
        <v>0.20154520367869938</v>
      </c>
      <c r="CD13" s="19">
        <v>0.12269957061893658</v>
      </c>
      <c r="CE13" s="19">
        <v>5.2405164577115824E-2</v>
      </c>
      <c r="CF13" s="19">
        <v>0.15280185132077323</v>
      </c>
      <c r="CG13" s="19">
        <v>0.23065509817576013</v>
      </c>
      <c r="CH13" s="19">
        <v>0.23989311162871488</v>
      </c>
      <c r="CI13" s="20">
        <v>6.3510921344717419E-3</v>
      </c>
      <c r="CJ13" s="20">
        <v>3.9311326182007132E-2</v>
      </c>
      <c r="CN13" s="18">
        <v>12</v>
      </c>
      <c r="CO13" s="19">
        <v>0.28661019393647708</v>
      </c>
      <c r="CP13" s="19">
        <v>0.18447369848488357</v>
      </c>
      <c r="CQ13" s="19">
        <v>0.10599505297756046</v>
      </c>
      <c r="CR13" s="19">
        <v>0.2456252618395946</v>
      </c>
      <c r="CS13" s="19">
        <v>0.22783092034659297</v>
      </c>
      <c r="CT13" s="19">
        <v>-5.053512758510869E-2</v>
      </c>
      <c r="CU13" s="20">
        <v>7.6246934022337672E-3</v>
      </c>
      <c r="CV13" s="20">
        <v>4.3555855338467175E-2</v>
      </c>
      <c r="DA13" s="18">
        <f t="shared" si="6"/>
        <v>12</v>
      </c>
      <c r="DB13" s="19">
        <f t="shared" si="7"/>
        <v>0.28661019393647708</v>
      </c>
      <c r="DC13" s="19">
        <f t="shared" si="8"/>
        <v>0.18447369848488357</v>
      </c>
      <c r="DD13" s="19">
        <f t="shared" si="9"/>
        <v>0.10599505297756046</v>
      </c>
      <c r="DE13" s="19">
        <f t="shared" si="10"/>
        <v>0.2456252618395946</v>
      </c>
      <c r="DF13" s="19">
        <f t="shared" si="11"/>
        <v>0.22783092034659297</v>
      </c>
      <c r="DG13" s="19">
        <f t="shared" si="12"/>
        <v>-5.053512758510869E-2</v>
      </c>
      <c r="DH13" s="20">
        <f t="shared" si="13"/>
        <v>7.6246934022337672E-3</v>
      </c>
      <c r="DI13" s="20">
        <f t="shared" si="14"/>
        <v>4.3555855338467175E-2</v>
      </c>
      <c r="DJ13" s="2"/>
    </row>
    <row r="14" spans="1:116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S14" s="18">
        <v>36.57</v>
      </c>
      <c r="T14" s="18">
        <v>4.2699999999999996</v>
      </c>
      <c r="U14" s="18">
        <v>181.5</v>
      </c>
      <c r="V14" s="18">
        <v>143</v>
      </c>
      <c r="W14" s="18">
        <v>5.03</v>
      </c>
      <c r="X14" s="18">
        <v>37.380000000000003</v>
      </c>
      <c r="AC14" s="22" t="s">
        <v>5</v>
      </c>
      <c r="AD14" s="19">
        <v>1.6774444893070265E-3</v>
      </c>
      <c r="AE14" s="19">
        <v>8.2259708940337695E-4</v>
      </c>
      <c r="AF14" s="19">
        <v>2.6838886712500851E-4</v>
      </c>
      <c r="AG14" s="19">
        <v>1.4660524986844596E-3</v>
      </c>
      <c r="AH14" s="19">
        <v>3.6091690115301015E-4</v>
      </c>
      <c r="AI14" s="19">
        <v>2.6708778993313636E-3</v>
      </c>
      <c r="AK14" s="25"/>
      <c r="AL14" s="26">
        <f t="shared" si="16"/>
        <v>-3.7378257436167454E-2</v>
      </c>
      <c r="AM14" s="26">
        <f t="shared" si="3"/>
        <v>-2.7334851936218704E-2</v>
      </c>
      <c r="AN14" s="26">
        <f t="shared" si="3"/>
        <v>8.6826347305389226E-2</v>
      </c>
      <c r="AO14" s="26">
        <f t="shared" si="3"/>
        <v>0.1171875</v>
      </c>
      <c r="AP14" s="26">
        <f t="shared" si="3"/>
        <v>-5.0943396226415014E-2</v>
      </c>
      <c r="AQ14" s="26">
        <f t="shared" si="3"/>
        <v>-3.9074550128534606E-2</v>
      </c>
      <c r="AS14" s="20">
        <v>2.5000000000000001E-3</v>
      </c>
      <c r="AT14" s="20">
        <v>0.1050618621462541</v>
      </c>
      <c r="AU14" s="20">
        <v>4.2908153960757305E-2</v>
      </c>
      <c r="AV14" s="20">
        <v>0.32209196470805834</v>
      </c>
      <c r="AW14" s="20">
        <v>-0.88052055517385597</v>
      </c>
      <c r="AX14" s="20">
        <v>0.55315576323390814</v>
      </c>
      <c r="AY14" s="20">
        <v>0.33329095425441757</v>
      </c>
      <c r="AZ14" s="20">
        <v>1.3142533429380883</v>
      </c>
      <c r="BA14" s="20">
        <v>-0.6422714699606229</v>
      </c>
      <c r="BD14" s="20">
        <v>2.5000000000000001E-3</v>
      </c>
      <c r="BE14" s="20">
        <v>4.6165094606033706E-2</v>
      </c>
      <c r="BF14" s="20">
        <v>1.6250043595364829E-2</v>
      </c>
      <c r="BG14" s="20">
        <v>0</v>
      </c>
      <c r="BH14" s="20">
        <v>0</v>
      </c>
      <c r="BI14" s="20">
        <v>0.24315600176648797</v>
      </c>
      <c r="BJ14" s="20">
        <v>0.11768753902298799</v>
      </c>
      <c r="BK14" s="20">
        <v>0.63915645921052355</v>
      </c>
      <c r="BL14" s="20">
        <v>0</v>
      </c>
      <c r="BQ14" s="27">
        <f t="shared" si="17"/>
        <v>0.39698662396347384</v>
      </c>
      <c r="BR14" s="20">
        <f t="shared" si="4"/>
        <v>0.1050618621462541</v>
      </c>
      <c r="BS14" s="20">
        <f t="shared" si="5"/>
        <v>4.2908153960757305E-2</v>
      </c>
      <c r="CB14" s="18">
        <v>13</v>
      </c>
      <c r="CC14" s="19">
        <v>0.20057448000965053</v>
      </c>
      <c r="CD14" s="19">
        <v>4.4762000446189184E-3</v>
      </c>
      <c r="CE14" s="19">
        <v>0.20319200368090523</v>
      </c>
      <c r="CF14" s="19">
        <v>0.29613839234703399</v>
      </c>
      <c r="CG14" s="19">
        <v>2.8911910058389743E-3</v>
      </c>
      <c r="CH14" s="19">
        <v>0.29272773291195237</v>
      </c>
      <c r="CI14" s="20">
        <v>5.5219186733135922E-3</v>
      </c>
      <c r="CJ14" s="20">
        <v>4.476537930002604E-2</v>
      </c>
      <c r="CN14" s="18">
        <v>13</v>
      </c>
      <c r="CO14" s="19">
        <v>33.430541825044806</v>
      </c>
      <c r="CP14" s="19">
        <v>-40.281385304271055</v>
      </c>
      <c r="CQ14" s="19">
        <v>-26.368683157377205</v>
      </c>
      <c r="CR14" s="19">
        <v>-17.409432376280023</v>
      </c>
      <c r="CS14" s="19">
        <v>8.7271472903461138</v>
      </c>
      <c r="CT14" s="19">
        <v>42.90181172253736</v>
      </c>
      <c r="CU14" s="20">
        <v>0.13640565103353655</v>
      </c>
      <c r="CV14" s="20">
        <v>4.1860362030608389</v>
      </c>
      <c r="DA14" s="18">
        <f t="shared" si="6"/>
        <v>13</v>
      </c>
      <c r="DB14" s="19">
        <f t="shared" si="7"/>
        <v>33.430541825044806</v>
      </c>
      <c r="DC14" s="19">
        <f t="shared" si="8"/>
        <v>-40.281385304271055</v>
      </c>
      <c r="DD14" s="19">
        <f t="shared" si="9"/>
        <v>-26.368683157377205</v>
      </c>
      <c r="DE14" s="19">
        <f t="shared" si="10"/>
        <v>-17.409432376280023</v>
      </c>
      <c r="DF14" s="19">
        <f t="shared" si="11"/>
        <v>8.7271472903461138</v>
      </c>
      <c r="DG14" s="19">
        <f t="shared" si="12"/>
        <v>42.90181172253736</v>
      </c>
      <c r="DH14" s="20">
        <f t="shared" si="13"/>
        <v>0.13640565103353655</v>
      </c>
      <c r="DI14" s="20">
        <f t="shared" si="14"/>
        <v>4.1860362030608389</v>
      </c>
      <c r="DJ14" s="2"/>
    </row>
    <row r="15" spans="1:116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S15" s="18">
        <v>38.380000000000003</v>
      </c>
      <c r="T15" s="18">
        <v>4.83</v>
      </c>
      <c r="U15" s="18">
        <v>180</v>
      </c>
      <c r="V15" s="18">
        <v>132</v>
      </c>
      <c r="W15" s="18">
        <v>4.9000000000000004</v>
      </c>
      <c r="X15" s="18">
        <v>37.950000000000003</v>
      </c>
      <c r="AK15" s="25"/>
      <c r="AL15" s="26">
        <f t="shared" si="16"/>
        <v>4.9494120864096318E-2</v>
      </c>
      <c r="AM15" s="26">
        <f t="shared" si="3"/>
        <v>0.13114754098360668</v>
      </c>
      <c r="AN15" s="26">
        <f t="shared" si="3"/>
        <v>-8.2644628099173556E-3</v>
      </c>
      <c r="AO15" s="26">
        <f t="shared" si="3"/>
        <v>-7.6923076923076927E-2</v>
      </c>
      <c r="AP15" s="26">
        <f t="shared" si="3"/>
        <v>-2.5844930417495006E-2</v>
      </c>
      <c r="AQ15" s="26">
        <f t="shared" si="3"/>
        <v>1.5248796147672558E-2</v>
      </c>
      <c r="AS15" s="20">
        <v>2.7500000000000003E-3</v>
      </c>
      <c r="AT15" s="20">
        <v>0.11293223462198691</v>
      </c>
      <c r="AU15" s="20">
        <v>4.5925762920722486E-2</v>
      </c>
      <c r="AV15" s="20">
        <v>0.34304190268120638</v>
      </c>
      <c r="AW15" s="20">
        <v>-0.95841845000222992</v>
      </c>
      <c r="AX15" s="20">
        <v>0.55916944093931342</v>
      </c>
      <c r="AY15" s="20">
        <v>0.36161981117446007</v>
      </c>
      <c r="AZ15" s="20">
        <v>1.4063358619748303</v>
      </c>
      <c r="BA15" s="20">
        <v>-0.7117485667675868</v>
      </c>
      <c r="BD15" s="20">
        <v>2.7500000000000003E-3</v>
      </c>
      <c r="BE15" s="20">
        <v>4.6823080030152418E-2</v>
      </c>
      <c r="BF15" s="20">
        <v>1.6444223527726114E-2</v>
      </c>
      <c r="BG15" s="20">
        <v>0</v>
      </c>
      <c r="BH15" s="20">
        <v>0</v>
      </c>
      <c r="BI15" s="20">
        <v>0.22874386112449938</v>
      </c>
      <c r="BJ15" s="20">
        <v>0.11992557669010365</v>
      </c>
      <c r="BK15" s="20">
        <v>0.65133056218539653</v>
      </c>
      <c r="BL15" s="20">
        <v>0</v>
      </c>
      <c r="BQ15" s="27">
        <f t="shared" si="17"/>
        <v>0.39604071477405067</v>
      </c>
      <c r="BR15" s="20">
        <f t="shared" si="4"/>
        <v>0.11293223462198691</v>
      </c>
      <c r="BS15" s="20">
        <f t="shared" si="5"/>
        <v>4.5925762920722486E-2</v>
      </c>
      <c r="CB15" s="18">
        <v>14</v>
      </c>
      <c r="CC15" s="19">
        <v>3.9753627183775071E-2</v>
      </c>
      <c r="CD15" s="19">
        <v>0.15834659417474628</v>
      </c>
      <c r="CE15" s="19">
        <v>0.31447162265749223</v>
      </c>
      <c r="CF15" s="19">
        <v>0.43616178759628343</v>
      </c>
      <c r="CG15" s="19">
        <v>2.1762668229210025E-2</v>
      </c>
      <c r="CH15" s="19">
        <v>2.9503700158492945E-2</v>
      </c>
      <c r="CI15" s="20">
        <v>7.1543899338240751E-3</v>
      </c>
      <c r="CJ15" s="20">
        <v>4.8938722660819022E-2</v>
      </c>
      <c r="CN15" s="18">
        <v>14</v>
      </c>
      <c r="CO15" s="19">
        <v>0.24251540266694002</v>
      </c>
      <c r="CP15" s="19">
        <v>0.24509113207442915</v>
      </c>
      <c r="CQ15" s="19">
        <v>-7.0951009801572549E-3</v>
      </c>
      <c r="CR15" s="19">
        <v>6.8569196476061411E-2</v>
      </c>
      <c r="CS15" s="19">
        <v>0.28750132319336846</v>
      </c>
      <c r="CT15" s="19">
        <v>0.16341804656935824</v>
      </c>
      <c r="CU15" s="20">
        <v>5.0678111341035869E-3</v>
      </c>
      <c r="CV15" s="20">
        <v>4.1436414475880104E-2</v>
      </c>
      <c r="DA15" s="18">
        <f t="shared" si="6"/>
        <v>14</v>
      </c>
      <c r="DB15" s="19">
        <f t="shared" si="7"/>
        <v>0.24251540266694002</v>
      </c>
      <c r="DC15" s="19">
        <f t="shared" si="8"/>
        <v>0.24509113207442915</v>
      </c>
      <c r="DD15" s="19">
        <f t="shared" si="9"/>
        <v>-7.0951009801572549E-3</v>
      </c>
      <c r="DE15" s="19">
        <f t="shared" si="10"/>
        <v>6.8569196476061411E-2</v>
      </c>
      <c r="DF15" s="19">
        <f t="shared" si="11"/>
        <v>0.28750132319336846</v>
      </c>
      <c r="DG15" s="19">
        <f t="shared" si="12"/>
        <v>0.16341804656935824</v>
      </c>
      <c r="DH15" s="20">
        <f t="shared" si="13"/>
        <v>5.0678111341035869E-3</v>
      </c>
      <c r="DI15" s="20">
        <f t="shared" si="14"/>
        <v>4.1436414475880104E-2</v>
      </c>
      <c r="DJ15" s="2"/>
    </row>
    <row r="16" spans="1:116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S16" s="18">
        <v>36.47</v>
      </c>
      <c r="T16" s="18">
        <v>4.9800000000000004</v>
      </c>
      <c r="U16" s="18">
        <v>179.5</v>
      </c>
      <c r="V16" s="18">
        <v>114</v>
      </c>
      <c r="W16" s="18">
        <v>4.75</v>
      </c>
      <c r="X16" s="18">
        <v>39.020000000000003</v>
      </c>
      <c r="AC16" s="22" t="s">
        <v>39</v>
      </c>
      <c r="AE16" s="26" t="str">
        <f>"Envelope portfolio with Risk-Free Rate = " &amp; AH16</f>
        <v>Envelope portfolio with Risk-Free Rate = 0.00425</v>
      </c>
      <c r="AG16" s="18" t="s">
        <v>17</v>
      </c>
      <c r="AH16" s="27">
        <v>4.2500000000000003E-3</v>
      </c>
      <c r="AK16" s="25"/>
      <c r="AL16" s="26">
        <f t="shared" si="16"/>
        <v>-4.9765502866076172E-2</v>
      </c>
      <c r="AM16" s="26">
        <f t="shared" si="3"/>
        <v>3.1055900621118085E-2</v>
      </c>
      <c r="AN16" s="26">
        <f t="shared" si="3"/>
        <v>-2.7777777777777779E-3</v>
      </c>
      <c r="AO16" s="26">
        <f t="shared" si="3"/>
        <v>-0.13636363636363635</v>
      </c>
      <c r="AP16" s="26">
        <f t="shared" si="3"/>
        <v>-3.0612244897959252E-2</v>
      </c>
      <c r="AQ16" s="26">
        <f t="shared" si="3"/>
        <v>2.8194993412384722E-2</v>
      </c>
      <c r="AS16" s="20">
        <v>3.0000000000000001E-3</v>
      </c>
      <c r="AT16" s="20">
        <v>0.12219584637220809</v>
      </c>
      <c r="AU16" s="20">
        <v>4.9457068036353018E-2</v>
      </c>
      <c r="AV16" s="20">
        <v>0.3673936685007872</v>
      </c>
      <c r="AW16" s="20">
        <v>-1.0495646559653502</v>
      </c>
      <c r="AX16" s="20">
        <v>0.56629379852490769</v>
      </c>
      <c r="AY16" s="20">
        <v>0.39484338578777312</v>
      </c>
      <c r="AZ16" s="20">
        <v>1.5140359691270173</v>
      </c>
      <c r="BA16" s="20">
        <v>-0.7930021659751415</v>
      </c>
      <c r="BD16" s="20">
        <v>3.0000000000000001E-3</v>
      </c>
      <c r="BE16" s="20">
        <v>4.7538784536914624E-2</v>
      </c>
      <c r="BF16" s="20">
        <v>1.6651615736871999E-2</v>
      </c>
      <c r="BG16" s="20">
        <v>0</v>
      </c>
      <c r="BH16" s="20">
        <v>0</v>
      </c>
      <c r="BI16" s="20">
        <v>0.21335108431433933</v>
      </c>
      <c r="BJ16" s="20">
        <v>0.12231592357754732</v>
      </c>
      <c r="BK16" s="20">
        <v>0.66433299210811292</v>
      </c>
      <c r="BL16" s="20">
        <v>0</v>
      </c>
      <c r="BQ16" s="27">
        <f t="shared" si="17"/>
        <v>0.3949157804379223</v>
      </c>
      <c r="BR16" s="20">
        <f t="shared" si="4"/>
        <v>0.12219584637220809</v>
      </c>
      <c r="BS16" s="20">
        <f t="shared" si="5"/>
        <v>4.9457068036353018E-2</v>
      </c>
      <c r="CB16" s="18">
        <v>15</v>
      </c>
      <c r="CC16" s="19">
        <v>0.18898214452639453</v>
      </c>
      <c r="CD16" s="19">
        <v>0.10542839844519362</v>
      </c>
      <c r="CE16" s="19">
        <v>0.13809465057188014</v>
      </c>
      <c r="CF16" s="19">
        <v>0.17081112496703665</v>
      </c>
      <c r="CG16" s="19">
        <v>0.24564731523749414</v>
      </c>
      <c r="CH16" s="19">
        <v>0.15103636625200093</v>
      </c>
      <c r="CI16" s="20">
        <v>7.5877338173144975E-3</v>
      </c>
      <c r="CJ16" s="20">
        <v>3.7699109898899012E-2</v>
      </c>
      <c r="CN16" s="18">
        <v>15</v>
      </c>
      <c r="CO16" s="19">
        <v>0.31978479427685064</v>
      </c>
      <c r="CP16" s="19">
        <v>0.7804220195050674</v>
      </c>
      <c r="CQ16" s="19">
        <v>-4.5398829738598628E-3</v>
      </c>
      <c r="CR16" s="19">
        <v>-0.69798672026600506</v>
      </c>
      <c r="CS16" s="19">
        <v>0.88664669994039824</v>
      </c>
      <c r="CT16" s="19">
        <v>-0.28432691048245134</v>
      </c>
      <c r="CU16" s="20">
        <v>2.628001519251499E-3</v>
      </c>
      <c r="CV16" s="20">
        <v>9.8783536339368511E-2</v>
      </c>
      <c r="DA16" s="18">
        <f t="shared" si="6"/>
        <v>15</v>
      </c>
      <c r="DB16" s="19">
        <f t="shared" si="7"/>
        <v>0.31978479427685064</v>
      </c>
      <c r="DC16" s="19">
        <f t="shared" si="8"/>
        <v>0.7804220195050674</v>
      </c>
      <c r="DD16" s="19">
        <f t="shared" si="9"/>
        <v>-4.5398829738598628E-3</v>
      </c>
      <c r="DE16" s="19">
        <f t="shared" si="10"/>
        <v>-0.69798672026600506</v>
      </c>
      <c r="DF16" s="19">
        <f t="shared" si="11"/>
        <v>0.88664669994039824</v>
      </c>
      <c r="DG16" s="19">
        <f t="shared" si="12"/>
        <v>-0.28432691048245134</v>
      </c>
      <c r="DH16" s="20">
        <f t="shared" si="13"/>
        <v>2.628001519251499E-3</v>
      </c>
      <c r="DI16" s="20">
        <f t="shared" si="14"/>
        <v>9.8783536339368511E-2</v>
      </c>
      <c r="DJ16" s="2"/>
    </row>
    <row r="17" spans="1:114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S17" s="18">
        <v>37.75</v>
      </c>
      <c r="T17" s="18">
        <v>5.05</v>
      </c>
      <c r="U17" s="18">
        <v>166</v>
      </c>
      <c r="V17" s="18">
        <v>110</v>
      </c>
      <c r="W17" s="18">
        <v>5.42</v>
      </c>
      <c r="X17" s="18">
        <v>40.799999999999997</v>
      </c>
      <c r="AC17" s="22" t="s">
        <v>0</v>
      </c>
      <c r="AE17" s="29">
        <v>6.5269333064652921E-2</v>
      </c>
      <c r="AK17" s="25"/>
      <c r="AL17" s="26">
        <f t="shared" si="16"/>
        <v>3.5097340279681963E-2</v>
      </c>
      <c r="AM17" s="26">
        <f t="shared" si="3"/>
        <v>1.4056224899598272E-2</v>
      </c>
      <c r="AN17" s="26">
        <f t="shared" si="3"/>
        <v>-7.5208913649025072E-2</v>
      </c>
      <c r="AO17" s="26">
        <f t="shared" si="3"/>
        <v>-3.5087719298245612E-2</v>
      </c>
      <c r="AP17" s="26">
        <f t="shared" si="3"/>
        <v>0.14105263157894735</v>
      </c>
      <c r="AQ17" s="26">
        <f t="shared" si="3"/>
        <v>4.5617631983598E-2</v>
      </c>
      <c r="AS17" s="20">
        <v>3.2499999999999999E-3</v>
      </c>
      <c r="AT17" s="20">
        <v>0.13334914317893937</v>
      </c>
      <c r="AU17" s="20">
        <v>5.3685946949995018E-2</v>
      </c>
      <c r="AV17" s="20">
        <v>0.39667494168287781</v>
      </c>
      <c r="AW17" s="20">
        <v>-1.1587474786499792</v>
      </c>
      <c r="AX17" s="20">
        <v>0.5747529788777066</v>
      </c>
      <c r="AY17" s="20">
        <v>0.43457626330939791</v>
      </c>
      <c r="AZ17" s="20">
        <v>1.6430485182977825</v>
      </c>
      <c r="BA17" s="20">
        <v>-0.89030522351779195</v>
      </c>
      <c r="BD17" s="20">
        <v>3.2499999999999999E-3</v>
      </c>
      <c r="BE17" s="20">
        <v>4.8319062135002561E-2</v>
      </c>
      <c r="BF17" s="20">
        <v>1.6873616123972313E-2</v>
      </c>
      <c r="BG17" s="20">
        <v>0</v>
      </c>
      <c r="BH17" s="20">
        <v>0</v>
      </c>
      <c r="BI17" s="20">
        <v>0.19687406473736432</v>
      </c>
      <c r="BJ17" s="20">
        <v>0.12487467273171836</v>
      </c>
      <c r="BK17" s="20">
        <v>0.67825126253091683</v>
      </c>
      <c r="BL17" s="20">
        <v>0</v>
      </c>
      <c r="BQ17" s="27">
        <f t="shared" si="17"/>
        <v>0.39359793170597918</v>
      </c>
      <c r="BR17" s="20">
        <f t="shared" si="4"/>
        <v>0.13334914317893937</v>
      </c>
      <c r="BS17" s="20">
        <f t="shared" si="5"/>
        <v>5.3685946949995018E-2</v>
      </c>
      <c r="CB17" s="18">
        <v>16</v>
      </c>
      <c r="CC17" s="19">
        <v>0.11844038349176614</v>
      </c>
      <c r="CD17" s="19">
        <v>2.7225250074740442E-2</v>
      </c>
      <c r="CE17" s="19">
        <v>0.15016781865009468</v>
      </c>
      <c r="CF17" s="19">
        <v>0.21048778372326718</v>
      </c>
      <c r="CG17" s="19">
        <v>0.28046009937758015</v>
      </c>
      <c r="CH17" s="19">
        <v>0.21321866468255146</v>
      </c>
      <c r="CI17" s="20">
        <v>9.4528161109725378E-3</v>
      </c>
      <c r="CJ17" s="20">
        <v>3.8598332893568142E-2</v>
      </c>
      <c r="CN17" s="18">
        <v>16</v>
      </c>
      <c r="CO17" s="19">
        <v>1.3980678126356325</v>
      </c>
      <c r="CP17" s="19">
        <v>-2.1459502321959127</v>
      </c>
      <c r="CQ17" s="19">
        <v>2.2344312085663831</v>
      </c>
      <c r="CR17" s="19">
        <v>0.42000044394214964</v>
      </c>
      <c r="CS17" s="19">
        <v>2.0915904605333067</v>
      </c>
      <c r="CT17" s="19">
        <v>-2.9981396934815598</v>
      </c>
      <c r="CU17" s="20">
        <v>8.2996785431008538E-2</v>
      </c>
      <c r="CV17" s="20">
        <v>0.23638289319988126</v>
      </c>
      <c r="DA17" s="18">
        <f t="shared" si="6"/>
        <v>16</v>
      </c>
      <c r="DB17" s="19">
        <f t="shared" si="7"/>
        <v>1.3980678126356325</v>
      </c>
      <c r="DC17" s="19">
        <f t="shared" si="8"/>
        <v>-2.1459502321959127</v>
      </c>
      <c r="DD17" s="19">
        <f t="shared" si="9"/>
        <v>2.2344312085663831</v>
      </c>
      <c r="DE17" s="19">
        <f t="shared" si="10"/>
        <v>0.42000044394214964</v>
      </c>
      <c r="DF17" s="19">
        <f t="shared" si="11"/>
        <v>2.0915904605333067</v>
      </c>
      <c r="DG17" s="19">
        <f t="shared" si="12"/>
        <v>-2.9981396934815598</v>
      </c>
      <c r="DH17" s="20">
        <f t="shared" si="13"/>
        <v>8.2996785431008538E-2</v>
      </c>
      <c r="DI17" s="20">
        <f t="shared" si="14"/>
        <v>0.23638289319988126</v>
      </c>
      <c r="DJ17" s="2"/>
    </row>
    <row r="18" spans="1:114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S18" s="18">
        <v>37.01</v>
      </c>
      <c r="T18" s="18">
        <v>5.29</v>
      </c>
      <c r="U18" s="18">
        <v>175</v>
      </c>
      <c r="V18" s="18">
        <v>115</v>
      </c>
      <c r="W18" s="18">
        <v>5.41</v>
      </c>
      <c r="X18" s="18">
        <v>42.17</v>
      </c>
      <c r="AC18" s="22" t="s">
        <v>1</v>
      </c>
      <c r="AE18" s="29">
        <v>7.6654238609753109E-2</v>
      </c>
      <c r="AK18" s="25"/>
      <c r="AL18" s="26">
        <f t="shared" si="16"/>
        <v>-1.960264900662257E-2</v>
      </c>
      <c r="AM18" s="26">
        <f t="shared" si="3"/>
        <v>4.7524752475247567E-2</v>
      </c>
      <c r="AN18" s="26">
        <f t="shared" si="3"/>
        <v>5.4216867469879519E-2</v>
      </c>
      <c r="AO18" s="26">
        <f t="shared" si="3"/>
        <v>4.5454545454545456E-2</v>
      </c>
      <c r="AP18" s="26">
        <f t="shared" si="3"/>
        <v>-1.8450184501844625E-3</v>
      </c>
      <c r="AQ18" s="26">
        <f t="shared" si="3"/>
        <v>3.3578431372549136E-2</v>
      </c>
      <c r="AS18" s="20">
        <v>3.5000000000000001E-3</v>
      </c>
      <c r="AT18" s="20">
        <v>0.14696319206011596</v>
      </c>
      <c r="AU18" s="20">
        <v>5.8822324571329673E-2</v>
      </c>
      <c r="AV18" s="20">
        <v>0.43226175053098098</v>
      </c>
      <c r="AW18" s="20">
        <v>-1.2913218914275939</v>
      </c>
      <c r="AX18" s="20">
        <v>0.58505362952932816</v>
      </c>
      <c r="AY18" s="20">
        <v>0.48283931415608838</v>
      </c>
      <c r="AZ18" s="20">
        <v>1.7997486619200846</v>
      </c>
      <c r="BA18" s="20">
        <v>-1.0085814647088942</v>
      </c>
      <c r="BD18" s="20">
        <v>3.5000000000000001E-3</v>
      </c>
      <c r="BE18" s="20">
        <v>4.9171813401669484E-2</v>
      </c>
      <c r="BF18" s="20">
        <v>1.7111824254312964E-2</v>
      </c>
      <c r="BG18" s="20">
        <v>0</v>
      </c>
      <c r="BH18" s="20">
        <v>0</v>
      </c>
      <c r="BI18" s="20">
        <v>0.17919407478981972</v>
      </c>
      <c r="BJ18" s="20">
        <v>0.12762027530984629</v>
      </c>
      <c r="BK18" s="20">
        <v>0.6931856499003336</v>
      </c>
      <c r="BL18" s="20">
        <v>0</v>
      </c>
      <c r="BQ18" s="27">
        <f t="shared" si="17"/>
        <v>0.39208677876130371</v>
      </c>
      <c r="BR18" s="20">
        <f t="shared" si="4"/>
        <v>0.14696319206011596</v>
      </c>
      <c r="BS18" s="20">
        <f t="shared" si="5"/>
        <v>5.8822324571329673E-2</v>
      </c>
      <c r="CB18" s="18">
        <v>17</v>
      </c>
      <c r="CC18" s="19">
        <v>0.15947019286240191</v>
      </c>
      <c r="CD18" s="19">
        <v>0.19758414395897836</v>
      </c>
      <c r="CE18" s="19">
        <v>0.1019806490929914</v>
      </c>
      <c r="CF18" s="19">
        <v>0.19497230444904054</v>
      </c>
      <c r="CG18" s="19">
        <v>0.17637840017503054</v>
      </c>
      <c r="CH18" s="19">
        <v>0.16961430946155726</v>
      </c>
      <c r="CI18" s="20">
        <v>5.4776730816983189E-3</v>
      </c>
      <c r="CJ18" s="20">
        <v>3.9477639588709972E-2</v>
      </c>
      <c r="CN18" s="18">
        <v>17</v>
      </c>
      <c r="CO18" s="19">
        <v>0.14676362426554024</v>
      </c>
      <c r="CP18" s="19">
        <v>-0.16687781084950778</v>
      </c>
      <c r="CQ18" s="19">
        <v>-0.14685044250766888</v>
      </c>
      <c r="CR18" s="19">
        <v>0.47921800211104576</v>
      </c>
      <c r="CS18" s="19">
        <v>0.11421026887118463</v>
      </c>
      <c r="CT18" s="19">
        <v>0.57353635810940606</v>
      </c>
      <c r="CU18" s="20">
        <v>9.4639743418901117E-3</v>
      </c>
      <c r="CV18" s="20">
        <v>6.2921930945962531E-2</v>
      </c>
      <c r="DA18" s="18">
        <f t="shared" si="6"/>
        <v>17</v>
      </c>
      <c r="DB18" s="19">
        <f t="shared" si="7"/>
        <v>0.14676362426554024</v>
      </c>
      <c r="DC18" s="19">
        <f t="shared" si="8"/>
        <v>-0.16687781084950778</v>
      </c>
      <c r="DD18" s="19">
        <f t="shared" si="9"/>
        <v>-0.14685044250766888</v>
      </c>
      <c r="DE18" s="19">
        <f t="shared" si="10"/>
        <v>0.47921800211104576</v>
      </c>
      <c r="DF18" s="19">
        <f t="shared" si="11"/>
        <v>0.11421026887118463</v>
      </c>
      <c r="DG18" s="19">
        <f t="shared" si="12"/>
        <v>0.57353635810940606</v>
      </c>
      <c r="DH18" s="20">
        <f t="shared" si="13"/>
        <v>9.4639743418901117E-3</v>
      </c>
      <c r="DI18" s="20">
        <f t="shared" si="14"/>
        <v>6.2921930945962531E-2</v>
      </c>
      <c r="DJ18" s="2"/>
    </row>
    <row r="19" spans="1:114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S19" s="18">
        <v>35.9</v>
      </c>
      <c r="T19" s="18">
        <v>5.3</v>
      </c>
      <c r="U19" s="18">
        <v>176.5</v>
      </c>
      <c r="V19" s="18">
        <v>122.5</v>
      </c>
      <c r="W19" s="18">
        <v>5.48</v>
      </c>
      <c r="X19" s="18">
        <v>41.07</v>
      </c>
      <c r="AC19" s="22" t="s">
        <v>2</v>
      </c>
      <c r="AE19" s="29">
        <v>0.47887981462122386</v>
      </c>
      <c r="AK19" s="25"/>
      <c r="AL19" s="26">
        <f t="shared" si="16"/>
        <v>-2.9991894082680343E-2</v>
      </c>
      <c r="AM19" s="26">
        <f t="shared" ref="AM19:AM73" si="19">(T19-T18)/T18</f>
        <v>1.8903591682419257E-3</v>
      </c>
      <c r="AN19" s="26">
        <f t="shared" ref="AN19:AN73" si="20">(U19-U18)/U18</f>
        <v>8.5714285714285719E-3</v>
      </c>
      <c r="AO19" s="26">
        <f t="shared" ref="AO19:AO73" si="21">(V19-V18)/V18</f>
        <v>6.5217391304347824E-2</v>
      </c>
      <c r="AP19" s="26">
        <f t="shared" ref="AP19:AP73" si="22">(W19-W18)/W18</f>
        <v>1.2939001848428888E-2</v>
      </c>
      <c r="AQ19" s="26">
        <f t="shared" ref="AQ19:AQ73" si="23">(X19-X18)/X18</f>
        <v>-2.6084894474745112E-2</v>
      </c>
      <c r="AS19" s="20">
        <v>3.7500000000000003E-3</v>
      </c>
      <c r="AT19" s="20">
        <v>0.16392914274804779</v>
      </c>
      <c r="AU19" s="20">
        <v>6.5194468374434669E-2</v>
      </c>
      <c r="AV19" s="20">
        <v>0.47639321028677345</v>
      </c>
      <c r="AW19" s="20">
        <v>-1.4558118188027176</v>
      </c>
      <c r="AX19" s="20">
        <v>0.5978240539187526</v>
      </c>
      <c r="AY19" s="20">
        <v>0.54270591655712996</v>
      </c>
      <c r="AZ19" s="20">
        <v>1.9941517692421245</v>
      </c>
      <c r="BA19" s="20">
        <v>-1.1552631312020691</v>
      </c>
      <c r="BD19" s="20">
        <v>3.7500000000000003E-3</v>
      </c>
      <c r="BE19" s="20">
        <v>5.0106186857038701E-2</v>
      </c>
      <c r="BF19" s="20">
        <v>1.7368082278815207E-2</v>
      </c>
      <c r="BG19" s="20">
        <v>0</v>
      </c>
      <c r="BH19" s="20">
        <v>0</v>
      </c>
      <c r="BI19" s="20">
        <v>0.16017439370061123</v>
      </c>
      <c r="BJ19" s="20">
        <v>0.13057395300057123</v>
      </c>
      <c r="BK19" s="20">
        <v>0.70925165329881712</v>
      </c>
      <c r="BL19" s="20">
        <v>0</v>
      </c>
      <c r="BQ19" s="27">
        <f t="shared" si="17"/>
        <v>0.39037883869612783</v>
      </c>
      <c r="BR19" s="20">
        <f t="shared" si="4"/>
        <v>0.16392914274804779</v>
      </c>
      <c r="BS19" s="20">
        <f t="shared" si="5"/>
        <v>6.5194468374434669E-2</v>
      </c>
      <c r="CB19" s="18">
        <v>18</v>
      </c>
      <c r="CC19" s="19">
        <v>0.24647684053809565</v>
      </c>
      <c r="CD19" s="19">
        <v>6.4856379460565147E-2</v>
      </c>
      <c r="CE19" s="19">
        <v>0.26091553308374377</v>
      </c>
      <c r="CF19" s="19">
        <v>2.3557570546059437E-2</v>
      </c>
      <c r="CG19" s="19">
        <v>8.3662557691780784E-2</v>
      </c>
      <c r="CH19" s="19">
        <v>0.3205311186797552</v>
      </c>
      <c r="CI19" s="20">
        <v>3.2981219108922377E-3</v>
      </c>
      <c r="CJ19" s="20">
        <v>3.5803518644032993E-2</v>
      </c>
      <c r="CN19" s="18">
        <v>18</v>
      </c>
      <c r="CO19" s="19">
        <v>-2.9300743294014223E-2</v>
      </c>
      <c r="CP19" s="19">
        <v>0.28921533421920609</v>
      </c>
      <c r="CQ19" s="19">
        <v>-0.62794909831247037</v>
      </c>
      <c r="CR19" s="19">
        <v>0.41062811599941612</v>
      </c>
      <c r="CS19" s="19">
        <v>0.40980945745154507</v>
      </c>
      <c r="CT19" s="19">
        <v>0.54759693393631736</v>
      </c>
      <c r="CU19" s="20">
        <v>7.7080386125008126E-3</v>
      </c>
      <c r="CV19" s="20">
        <v>7.0199430828725484E-2</v>
      </c>
      <c r="DA19" s="18">
        <f t="shared" si="6"/>
        <v>18</v>
      </c>
      <c r="DB19" s="19">
        <f t="shared" si="7"/>
        <v>-2.9300743294014223E-2</v>
      </c>
      <c r="DC19" s="19">
        <f t="shared" si="8"/>
        <v>0.28921533421920609</v>
      </c>
      <c r="DD19" s="19">
        <f t="shared" si="9"/>
        <v>-0.62794909831247037</v>
      </c>
      <c r="DE19" s="19">
        <f t="shared" si="10"/>
        <v>0.41062811599941612</v>
      </c>
      <c r="DF19" s="19">
        <f t="shared" si="11"/>
        <v>0.40980945745154507</v>
      </c>
      <c r="DG19" s="19">
        <f t="shared" si="12"/>
        <v>0.54759693393631736</v>
      </c>
      <c r="DH19" s="20">
        <f t="shared" si="13"/>
        <v>7.7080386125008126E-3</v>
      </c>
      <c r="DI19" s="20">
        <f t="shared" si="14"/>
        <v>7.0199430828725484E-2</v>
      </c>
      <c r="DJ19" s="2"/>
    </row>
    <row r="20" spans="1:114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S20" s="18">
        <v>38.68</v>
      </c>
      <c r="T20" s="18">
        <v>5.49</v>
      </c>
      <c r="U20" s="18">
        <v>188</v>
      </c>
      <c r="V20" s="18">
        <v>135</v>
      </c>
      <c r="W20" s="18">
        <v>5.51</v>
      </c>
      <c r="X20" s="18">
        <v>42.52</v>
      </c>
      <c r="AC20" s="22" t="s">
        <v>3</v>
      </c>
      <c r="AE20" s="29">
        <v>-1.5056512225084218E-2</v>
      </c>
      <c r="AK20" s="25"/>
      <c r="AL20" s="26">
        <f t="shared" si="16"/>
        <v>7.7437325905292509E-2</v>
      </c>
      <c r="AM20" s="26">
        <f t="shared" si="19"/>
        <v>3.584905660377366E-2</v>
      </c>
      <c r="AN20" s="26">
        <f t="shared" si="20"/>
        <v>6.5155807365439092E-2</v>
      </c>
      <c r="AO20" s="26">
        <f t="shared" si="21"/>
        <v>0.10204081632653061</v>
      </c>
      <c r="AP20" s="26">
        <f t="shared" si="22"/>
        <v>5.4744525547444087E-3</v>
      </c>
      <c r="AQ20" s="26">
        <f t="shared" si="23"/>
        <v>3.5305575846116453E-2</v>
      </c>
      <c r="AS20" s="20">
        <v>4.0000000000000001E-3</v>
      </c>
      <c r="AT20" s="20">
        <v>0.18562128880104389</v>
      </c>
      <c r="AU20" s="20">
        <v>7.3308618656094879E-2</v>
      </c>
      <c r="AV20" s="20">
        <v>0.53258997243805695</v>
      </c>
      <c r="AW20" s="20">
        <v>-1.665266516148715</v>
      </c>
      <c r="AX20" s="20">
        <v>0.61407669503830276</v>
      </c>
      <c r="AY20" s="20">
        <v>0.61894832651316345</v>
      </c>
      <c r="AZ20" s="20">
        <v>2.2416978547652873</v>
      </c>
      <c r="BA20" s="20">
        <v>-1.3420463326061023</v>
      </c>
      <c r="BD20" s="20">
        <v>4.0000000000000001E-3</v>
      </c>
      <c r="BE20" s="20">
        <v>5.1132824808546036E-2</v>
      </c>
      <c r="BF20" s="20">
        <v>1.7644522234774834E-2</v>
      </c>
      <c r="BG20" s="20">
        <v>0</v>
      </c>
      <c r="BH20" s="20">
        <v>0</v>
      </c>
      <c r="BI20" s="20">
        <v>0.13965675629055296</v>
      </c>
      <c r="BJ20" s="20">
        <v>0.13376033148787481</v>
      </c>
      <c r="BK20" s="20">
        <v>0.72658291222157179</v>
      </c>
      <c r="BL20" s="20">
        <v>0</v>
      </c>
      <c r="BQ20" s="27">
        <f t="shared" si="17"/>
        <v>0.38847170559937061</v>
      </c>
      <c r="BR20" s="20">
        <f t="shared" si="4"/>
        <v>0.18562128880104389</v>
      </c>
      <c r="BS20" s="20">
        <f t="shared" si="5"/>
        <v>7.3308618656094879E-2</v>
      </c>
      <c r="CB20" s="18">
        <v>19</v>
      </c>
      <c r="CC20" s="19">
        <v>0.31015631357488876</v>
      </c>
      <c r="CD20" s="19">
        <v>8.3023803306457353E-2</v>
      </c>
      <c r="CE20" s="19">
        <v>6.9690767005902599E-2</v>
      </c>
      <c r="CF20" s="19">
        <v>8.9625371842460583E-2</v>
      </c>
      <c r="CG20" s="19">
        <v>0.35009167918214129</v>
      </c>
      <c r="CH20" s="19">
        <v>9.7412065088149397E-2</v>
      </c>
      <c r="CI20" s="20">
        <v>8.5580096263992642E-3</v>
      </c>
      <c r="CJ20" s="20">
        <v>3.9995020567324409E-2</v>
      </c>
      <c r="CN20" s="18">
        <v>19</v>
      </c>
      <c r="CO20" s="19">
        <v>1.7847876542883776</v>
      </c>
      <c r="CP20" s="19">
        <v>5.8017851817817201</v>
      </c>
      <c r="CQ20" s="19">
        <v>-2.8261960585866603</v>
      </c>
      <c r="CR20" s="19">
        <v>-3.9754292478700091</v>
      </c>
      <c r="CS20" s="19">
        <v>2.5820928514181287</v>
      </c>
      <c r="CT20" s="19">
        <v>-2.3670403810315572</v>
      </c>
      <c r="CU20" s="20">
        <v>-6.3630978829316398E-2</v>
      </c>
      <c r="CV20" s="20">
        <v>0.58104731239559093</v>
      </c>
      <c r="DA20" s="18">
        <f t="shared" si="6"/>
        <v>19</v>
      </c>
      <c r="DB20" s="19">
        <f t="shared" si="7"/>
        <v>1.7847876542883776</v>
      </c>
      <c r="DC20" s="19">
        <f t="shared" si="8"/>
        <v>5.8017851817817201</v>
      </c>
      <c r="DD20" s="19">
        <f t="shared" si="9"/>
        <v>-2.8261960585866603</v>
      </c>
      <c r="DE20" s="19">
        <f t="shared" si="10"/>
        <v>-3.9754292478700091</v>
      </c>
      <c r="DF20" s="19">
        <f t="shared" si="11"/>
        <v>2.5820928514181287</v>
      </c>
      <c r="DG20" s="19">
        <f t="shared" si="12"/>
        <v>-2.3670403810315572</v>
      </c>
      <c r="DH20" s="20">
        <f t="shared" si="13"/>
        <v>-6.3630978829316398E-2</v>
      </c>
      <c r="DI20" s="20">
        <f t="shared" si="14"/>
        <v>0.58104731239559093</v>
      </c>
      <c r="DJ20" s="2"/>
    </row>
    <row r="21" spans="1:114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S21" s="18">
        <v>36.67</v>
      </c>
      <c r="T21" s="18">
        <v>5.88</v>
      </c>
      <c r="U21" s="18">
        <v>179.5</v>
      </c>
      <c r="V21" s="18">
        <v>122</v>
      </c>
      <c r="W21" s="18">
        <v>5.71</v>
      </c>
      <c r="X21" s="18">
        <v>42.7</v>
      </c>
      <c r="AC21" s="22" t="s">
        <v>4</v>
      </c>
      <c r="AE21" s="29">
        <v>0.18305506003838828</v>
      </c>
      <c r="AK21" s="25"/>
      <c r="AL21" s="26">
        <f t="shared" si="16"/>
        <v>-5.1964839710444626E-2</v>
      </c>
      <c r="AM21" s="26">
        <f t="shared" si="19"/>
        <v>7.1038251366120159E-2</v>
      </c>
      <c r="AN21" s="26">
        <f t="shared" si="20"/>
        <v>-4.5212765957446811E-2</v>
      </c>
      <c r="AO21" s="26">
        <f t="shared" si="21"/>
        <v>-9.6296296296296297E-2</v>
      </c>
      <c r="AP21" s="26">
        <f t="shared" si="22"/>
        <v>3.6297640653357569E-2</v>
      </c>
      <c r="AQ21" s="26">
        <f t="shared" si="23"/>
        <v>4.2333019755409146E-3</v>
      </c>
      <c r="AS21" s="20">
        <v>4.2500000000000003E-3</v>
      </c>
      <c r="AT21" s="20">
        <v>0.21428455832100154</v>
      </c>
      <c r="AU21" s="20">
        <v>8.3991782821779465E-2</v>
      </c>
      <c r="AV21" s="20">
        <v>0.6065819225472352</v>
      </c>
      <c r="AW21" s="20">
        <v>-1.9410396440801305</v>
      </c>
      <c r="AX21" s="20">
        <v>0.6354819261058583</v>
      </c>
      <c r="AY21" s="20">
        <v>0.71932408954420579</v>
      </c>
      <c r="AZ21" s="20">
        <v>2.5676196473299768</v>
      </c>
      <c r="BA21" s="20">
        <v>-1.5879679414471524</v>
      </c>
      <c r="BD21" s="20">
        <v>4.2500000000000003E-3</v>
      </c>
      <c r="BE21" s="20">
        <v>5.2264173754222647E-2</v>
      </c>
      <c r="BF21" s="20">
        <v>1.794362617590502E-2</v>
      </c>
      <c r="BG21" s="20">
        <v>0</v>
      </c>
      <c r="BH21" s="20">
        <v>0</v>
      </c>
      <c r="BI21" s="20">
        <v>0.11745664233741694</v>
      </c>
      <c r="BJ21" s="20">
        <v>0.13720867289247063</v>
      </c>
      <c r="BK21" s="20">
        <v>0.745334684770112</v>
      </c>
      <c r="BL21" s="20">
        <v>0</v>
      </c>
      <c r="BQ21" s="27">
        <f t="shared" si="17"/>
        <v>0.38636373740825553</v>
      </c>
      <c r="BR21" s="20">
        <f t="shared" si="4"/>
        <v>0.21428455832100154</v>
      </c>
      <c r="BS21" s="20">
        <f t="shared" si="5"/>
        <v>8.3991782821779465E-2</v>
      </c>
      <c r="CB21" s="18">
        <v>20</v>
      </c>
      <c r="CC21" s="19">
        <v>7.363367469917434E-2</v>
      </c>
      <c r="CD21" s="19">
        <v>0.20558014702700753</v>
      </c>
      <c r="CE21" s="19">
        <v>0.19130443298019451</v>
      </c>
      <c r="CF21" s="19">
        <v>0.22238277789760952</v>
      </c>
      <c r="CG21" s="19">
        <v>0.21834376869953351</v>
      </c>
      <c r="CH21" s="19">
        <v>8.8755198696480603E-2</v>
      </c>
      <c r="CI21" s="20">
        <v>7.1139609357731273E-3</v>
      </c>
      <c r="CJ21" s="20">
        <v>3.8660376036334772E-2</v>
      </c>
      <c r="CN21" s="18">
        <v>20</v>
      </c>
      <c r="CO21" s="19">
        <v>0.82363179728044278</v>
      </c>
      <c r="CP21" s="19">
        <v>-2.6974197180540269</v>
      </c>
      <c r="CQ21" s="19">
        <v>-2.0932091569744191</v>
      </c>
      <c r="CR21" s="19">
        <v>0.53967280891733216</v>
      </c>
      <c r="CS21" s="19">
        <v>3.6536205118043399</v>
      </c>
      <c r="CT21" s="19">
        <v>0.77370375702633121</v>
      </c>
      <c r="CU21" s="20">
        <v>9.2896459994496958E-2</v>
      </c>
      <c r="CV21" s="20">
        <v>0.29520245011980184</v>
      </c>
      <c r="DA21" s="18">
        <f t="shared" si="6"/>
        <v>20</v>
      </c>
      <c r="DB21" s="19">
        <f t="shared" si="7"/>
        <v>0.82363179728044278</v>
      </c>
      <c r="DC21" s="19">
        <f t="shared" si="8"/>
        <v>-2.6974197180540269</v>
      </c>
      <c r="DD21" s="19">
        <f t="shared" si="9"/>
        <v>-2.0932091569744191</v>
      </c>
      <c r="DE21" s="19">
        <f t="shared" si="10"/>
        <v>0.53967280891733216</v>
      </c>
      <c r="DF21" s="19">
        <f t="shared" si="11"/>
        <v>3.6536205118043399</v>
      </c>
      <c r="DG21" s="19">
        <f t="shared" si="12"/>
        <v>0.77370375702633121</v>
      </c>
      <c r="DH21" s="20">
        <f t="shared" si="13"/>
        <v>9.2896459994496958E-2</v>
      </c>
      <c r="DI21" s="20">
        <f t="shared" si="14"/>
        <v>0.29520245011980184</v>
      </c>
      <c r="DJ21" s="2"/>
    </row>
    <row r="22" spans="1:114" ht="14.5" thickBot="1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S22" s="18">
        <v>33.869999999999997</v>
      </c>
      <c r="T22" s="18">
        <v>5.46</v>
      </c>
      <c r="U22" s="18">
        <v>181</v>
      </c>
      <c r="V22" s="18">
        <v>109</v>
      </c>
      <c r="W22" s="18">
        <v>5.68</v>
      </c>
      <c r="X22" s="18">
        <v>40.6</v>
      </c>
      <c r="AC22" s="22" t="s">
        <v>5</v>
      </c>
      <c r="AE22" s="29">
        <v>0.21119806589105947</v>
      </c>
      <c r="AK22" s="25"/>
      <c r="AL22" s="26">
        <f t="shared" si="16"/>
        <v>-7.6356694845923209E-2</v>
      </c>
      <c r="AM22" s="26">
        <f t="shared" si="19"/>
        <v>-7.1428571428571425E-2</v>
      </c>
      <c r="AN22" s="26">
        <f t="shared" si="20"/>
        <v>8.356545961002786E-3</v>
      </c>
      <c r="AO22" s="26">
        <f t="shared" si="21"/>
        <v>-0.10655737704918032</v>
      </c>
      <c r="AP22" s="26">
        <f t="shared" si="22"/>
        <v>-5.2539404553415495E-3</v>
      </c>
      <c r="AQ22" s="26">
        <f t="shared" si="23"/>
        <v>-4.9180327868852486E-2</v>
      </c>
      <c r="AS22" s="30"/>
      <c r="AT22" s="30"/>
      <c r="AU22" s="30"/>
      <c r="AV22" s="30"/>
      <c r="AW22" s="30"/>
      <c r="AX22" s="30"/>
      <c r="AY22" s="30"/>
      <c r="AZ22" s="30"/>
      <c r="BA22" s="30"/>
      <c r="BD22" s="30"/>
      <c r="BE22" s="30"/>
      <c r="BF22" s="30"/>
      <c r="BG22" s="30"/>
      <c r="BH22" s="30"/>
      <c r="BI22" s="30"/>
      <c r="BJ22" s="30"/>
      <c r="BK22" s="30"/>
      <c r="BL22" s="30"/>
      <c r="BS22" s="30"/>
      <c r="CB22" s="18">
        <v>21</v>
      </c>
      <c r="CC22" s="19">
        <v>0.23089533377202812</v>
      </c>
      <c r="CD22" s="19">
        <v>0.20127218597503746</v>
      </c>
      <c r="CE22" s="19">
        <v>0.2508842812268075</v>
      </c>
      <c r="CF22" s="19">
        <v>6.2312107607481459E-2</v>
      </c>
      <c r="CG22" s="19">
        <v>9.9703681566395114E-2</v>
      </c>
      <c r="CH22" s="19">
        <v>0.15493240985225035</v>
      </c>
      <c r="CI22" s="20">
        <v>3.0287777423887411E-3</v>
      </c>
      <c r="CJ22" s="20">
        <v>3.5922986212535479E-2</v>
      </c>
      <c r="CN22" s="18">
        <v>21</v>
      </c>
      <c r="CO22" s="19">
        <v>1.7040346012665633</v>
      </c>
      <c r="CP22" s="19">
        <v>-2.2337254852366031</v>
      </c>
      <c r="CQ22" s="19">
        <v>1.991395843674614</v>
      </c>
      <c r="CR22" s="19">
        <v>-3.1696252477955289</v>
      </c>
      <c r="CS22" s="19">
        <v>3.6944446376573326</v>
      </c>
      <c r="CT22" s="19">
        <v>-0.98652434956637758</v>
      </c>
      <c r="CU22" s="20">
        <v>6.4946221423678202E-2</v>
      </c>
      <c r="CV22" s="20">
        <v>0.36419182101897019</v>
      </c>
      <c r="DA22" s="18">
        <f t="shared" si="6"/>
        <v>21</v>
      </c>
      <c r="DB22" s="19">
        <f t="shared" si="7"/>
        <v>1.7040346012665633</v>
      </c>
      <c r="DC22" s="19">
        <f t="shared" si="8"/>
        <v>-2.2337254852366031</v>
      </c>
      <c r="DD22" s="19">
        <f t="shared" si="9"/>
        <v>1.991395843674614</v>
      </c>
      <c r="DE22" s="19">
        <f t="shared" si="10"/>
        <v>-3.1696252477955289</v>
      </c>
      <c r="DF22" s="19">
        <f t="shared" si="11"/>
        <v>3.6944446376573326</v>
      </c>
      <c r="DG22" s="19">
        <f t="shared" si="12"/>
        <v>-0.98652434956637758</v>
      </c>
      <c r="DH22" s="20">
        <f t="shared" si="13"/>
        <v>6.4946221423678202E-2</v>
      </c>
      <c r="DI22" s="20">
        <f t="shared" si="14"/>
        <v>0.36419182101897019</v>
      </c>
      <c r="DJ22" s="2"/>
    </row>
    <row r="23" spans="1:114" ht="14.5" thickBot="1" x14ac:dyDescent="0.3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S23" s="18">
        <v>33.96</v>
      </c>
      <c r="T23" s="18">
        <v>5.85</v>
      </c>
      <c r="U23" s="18">
        <v>176.5</v>
      </c>
      <c r="V23" s="18">
        <v>102</v>
      </c>
      <c r="W23" s="18">
        <v>5.92</v>
      </c>
      <c r="X23" s="18">
        <v>40.130000000000003</v>
      </c>
      <c r="AD23" s="1" t="s">
        <v>11</v>
      </c>
      <c r="AE23" s="31">
        <f>SUM(AE17:AE22)</f>
        <v>0.99999999999999356</v>
      </c>
      <c r="AK23" s="25"/>
      <c r="AL23" s="26">
        <f t="shared" si="16"/>
        <v>2.6572187776794632E-3</v>
      </c>
      <c r="AM23" s="26">
        <f t="shared" si="19"/>
        <v>7.1428571428571369E-2</v>
      </c>
      <c r="AN23" s="26">
        <f t="shared" si="20"/>
        <v>-2.4861878453038673E-2</v>
      </c>
      <c r="AO23" s="26">
        <f t="shared" si="21"/>
        <v>-6.4220183486238536E-2</v>
      </c>
      <c r="AP23" s="26">
        <f t="shared" si="22"/>
        <v>4.2253521126760604E-2</v>
      </c>
      <c r="AQ23" s="26">
        <f t="shared" si="23"/>
        <v>-1.1576354679802928E-2</v>
      </c>
      <c r="AS23" s="41" t="s">
        <v>32</v>
      </c>
      <c r="AT23" s="41"/>
      <c r="AU23" s="41"/>
      <c r="AV23" s="41"/>
      <c r="AW23" s="41"/>
      <c r="AX23" s="41"/>
      <c r="AY23" s="41"/>
      <c r="AZ23" s="41"/>
      <c r="BA23" s="41"/>
      <c r="BD23" s="41" t="s">
        <v>33</v>
      </c>
      <c r="BE23" s="41"/>
      <c r="BF23" s="41"/>
      <c r="BG23" s="41"/>
      <c r="BH23" s="41"/>
      <c r="BI23" s="41"/>
      <c r="BJ23" s="41"/>
      <c r="BK23" s="41"/>
      <c r="BL23" s="41"/>
      <c r="BQ23" s="32"/>
      <c r="BR23" s="30"/>
      <c r="BS23" s="30"/>
      <c r="CB23" s="18">
        <v>22</v>
      </c>
      <c r="CC23" s="19">
        <v>0.18056554939078054</v>
      </c>
      <c r="CD23" s="19">
        <v>0.10374829331291024</v>
      </c>
      <c r="CE23" s="19">
        <v>0.2940005641310422</v>
      </c>
      <c r="CF23" s="19">
        <v>0.31991339296067489</v>
      </c>
      <c r="CG23" s="19">
        <v>7.0807889347503053E-2</v>
      </c>
      <c r="CH23" s="19">
        <v>3.0964310857089034E-2</v>
      </c>
      <c r="CI23" s="20">
        <v>7.0575987051141684E-3</v>
      </c>
      <c r="CJ23" s="20">
        <v>4.2712192245095815E-2</v>
      </c>
      <c r="CN23" s="18">
        <v>22</v>
      </c>
      <c r="CO23" s="19">
        <v>0.52385762657345292</v>
      </c>
      <c r="CP23" s="19">
        <v>-0.29492125250015827</v>
      </c>
      <c r="CQ23" s="19">
        <v>0.50518106364303639</v>
      </c>
      <c r="CR23" s="19">
        <v>-0.44282851095792208</v>
      </c>
      <c r="CS23" s="19">
        <v>0.55602636950499862</v>
      </c>
      <c r="CT23" s="19">
        <v>0.1526847037365924</v>
      </c>
      <c r="CU23" s="20">
        <v>1.1393770972404065E-2</v>
      </c>
      <c r="CV23" s="20">
        <v>5.863082285133623E-2</v>
      </c>
      <c r="DA23" s="18">
        <f t="shared" si="6"/>
        <v>22</v>
      </c>
      <c r="DB23" s="19">
        <f t="shared" si="7"/>
        <v>0.52385762657345292</v>
      </c>
      <c r="DC23" s="19">
        <f t="shared" si="8"/>
        <v>-0.29492125250015827</v>
      </c>
      <c r="DD23" s="19">
        <f t="shared" si="9"/>
        <v>0.50518106364303639</v>
      </c>
      <c r="DE23" s="19">
        <f t="shared" si="10"/>
        <v>-0.44282851095792208</v>
      </c>
      <c r="DF23" s="19">
        <f t="shared" si="11"/>
        <v>0.55602636950499862</v>
      </c>
      <c r="DG23" s="19">
        <f t="shared" si="12"/>
        <v>0.1526847037365924</v>
      </c>
      <c r="DH23" s="20">
        <f t="shared" si="13"/>
        <v>1.1393770972404065E-2</v>
      </c>
      <c r="DI23" s="20">
        <f t="shared" si="14"/>
        <v>5.863082285133623E-2</v>
      </c>
      <c r="DJ23" s="2"/>
    </row>
    <row r="24" spans="1:114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S24" s="18">
        <v>30.92</v>
      </c>
      <c r="T24" s="18">
        <v>5.64</v>
      </c>
      <c r="U24" s="18">
        <v>183.5</v>
      </c>
      <c r="V24" s="18">
        <v>105</v>
      </c>
      <c r="W24" s="18">
        <v>6.25</v>
      </c>
      <c r="X24" s="18">
        <v>35.75</v>
      </c>
      <c r="AK24" s="25"/>
      <c r="AL24" s="26">
        <f t="shared" si="16"/>
        <v>-8.9517078916372173E-2</v>
      </c>
      <c r="AM24" s="26">
        <f t="shared" si="19"/>
        <v>-3.5897435897435895E-2</v>
      </c>
      <c r="AN24" s="26">
        <f t="shared" si="20"/>
        <v>3.9660056657223795E-2</v>
      </c>
      <c r="AO24" s="26">
        <f t="shared" si="21"/>
        <v>2.9411764705882353E-2</v>
      </c>
      <c r="AP24" s="26">
        <f t="shared" si="22"/>
        <v>5.5743243243243257E-2</v>
      </c>
      <c r="AQ24" s="26">
        <f t="shared" si="23"/>
        <v>-0.10914527784699732</v>
      </c>
      <c r="AS24" s="22" t="s">
        <v>34</v>
      </c>
      <c r="AT24" s="22" t="s">
        <v>12</v>
      </c>
      <c r="AU24" s="22" t="s">
        <v>15</v>
      </c>
      <c r="AV24" s="22" t="s">
        <v>0</v>
      </c>
      <c r="AW24" s="22" t="s">
        <v>1</v>
      </c>
      <c r="AX24" s="22" t="s">
        <v>2</v>
      </c>
      <c r="AY24" s="22" t="s">
        <v>3</v>
      </c>
      <c r="AZ24" s="22" t="s">
        <v>4</v>
      </c>
      <c r="BA24" s="22" t="s">
        <v>5</v>
      </c>
      <c r="BD24" s="22" t="s">
        <v>34</v>
      </c>
      <c r="BE24" s="22" t="s">
        <v>12</v>
      </c>
      <c r="BF24" s="22" t="s">
        <v>15</v>
      </c>
      <c r="BG24" s="22" t="s">
        <v>0</v>
      </c>
      <c r="BH24" s="22" t="s">
        <v>1</v>
      </c>
      <c r="BI24" s="22" t="s">
        <v>2</v>
      </c>
      <c r="BJ24" s="22" t="s">
        <v>3</v>
      </c>
      <c r="BK24" s="22" t="s">
        <v>4</v>
      </c>
      <c r="BL24" s="22" t="s">
        <v>5</v>
      </c>
      <c r="BQ24" s="32"/>
      <c r="BR24" s="30"/>
      <c r="BS24" s="30"/>
      <c r="CB24" s="18">
        <v>23</v>
      </c>
      <c r="CC24" s="19">
        <v>0.19688092050178702</v>
      </c>
      <c r="CD24" s="19">
        <v>0.26032550499826884</v>
      </c>
      <c r="CE24" s="19">
        <v>0.19897086393549712</v>
      </c>
      <c r="CF24" s="19">
        <v>0.13191679432364953</v>
      </c>
      <c r="CG24" s="19">
        <v>5.8086516212179314E-2</v>
      </c>
      <c r="CH24" s="19">
        <v>0.15381940002861816</v>
      </c>
      <c r="CI24" s="20">
        <v>2.29663816580742E-3</v>
      </c>
      <c r="CJ24" s="20">
        <v>3.8742096594042763E-2</v>
      </c>
      <c r="CN24" s="18">
        <v>23</v>
      </c>
      <c r="CO24" s="19">
        <v>0.38528835849715387</v>
      </c>
      <c r="CP24" s="19">
        <v>1.5689972190596282</v>
      </c>
      <c r="CQ24" s="19">
        <v>0.2917826940531178</v>
      </c>
      <c r="CR24" s="19">
        <v>-0.99317321070031328</v>
      </c>
      <c r="CS24" s="19">
        <v>1.4037169959339404</v>
      </c>
      <c r="CT24" s="19">
        <v>-1.656612056843527</v>
      </c>
      <c r="CU24" s="20">
        <v>5.0907262459930838E-3</v>
      </c>
      <c r="CV24" s="20">
        <v>0.17785768425357953</v>
      </c>
      <c r="DA24" s="18">
        <f t="shared" si="6"/>
        <v>23</v>
      </c>
      <c r="DB24" s="19">
        <f t="shared" si="7"/>
        <v>0.38528835849715387</v>
      </c>
      <c r="DC24" s="19">
        <f t="shared" si="8"/>
        <v>1.5689972190596282</v>
      </c>
      <c r="DD24" s="19">
        <f t="shared" si="9"/>
        <v>0.2917826940531178</v>
      </c>
      <c r="DE24" s="19">
        <f t="shared" si="10"/>
        <v>-0.99317321070031328</v>
      </c>
      <c r="DF24" s="19">
        <f t="shared" si="11"/>
        <v>1.4037169959339404</v>
      </c>
      <c r="DG24" s="19">
        <f t="shared" si="12"/>
        <v>-1.656612056843527</v>
      </c>
      <c r="DH24" s="20">
        <f t="shared" si="13"/>
        <v>5.0907262459930838E-3</v>
      </c>
      <c r="DI24" s="20">
        <f t="shared" si="14"/>
        <v>0.17785768425357953</v>
      </c>
      <c r="DJ24" s="2"/>
    </row>
    <row r="25" spans="1:114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S25" s="18">
        <v>29.37</v>
      </c>
      <c r="T25" s="18">
        <v>5.5</v>
      </c>
      <c r="U25" s="18">
        <v>182</v>
      </c>
      <c r="V25" s="18">
        <v>113</v>
      </c>
      <c r="W25" s="18">
        <v>6.94</v>
      </c>
      <c r="X25" s="18">
        <v>38.01</v>
      </c>
      <c r="AD25" s="33"/>
      <c r="AE25" s="33"/>
      <c r="AF25" s="33"/>
      <c r="AG25" s="33"/>
      <c r="AH25" s="33"/>
      <c r="AI25" s="33"/>
      <c r="AK25" s="25"/>
      <c r="AL25" s="26">
        <f t="shared" si="16"/>
        <v>-5.012936610608023E-2</v>
      </c>
      <c r="AM25" s="26">
        <f t="shared" si="19"/>
        <v>-2.4822695035460939E-2</v>
      </c>
      <c r="AN25" s="26">
        <f t="shared" si="20"/>
        <v>-8.1743869209809257E-3</v>
      </c>
      <c r="AO25" s="26">
        <f t="shared" si="21"/>
        <v>7.6190476190476197E-2</v>
      </c>
      <c r="AP25" s="26">
        <f t="shared" si="22"/>
        <v>0.11040000000000007</v>
      </c>
      <c r="AQ25" s="26">
        <f t="shared" si="23"/>
        <v>6.3216783216783159E-2</v>
      </c>
      <c r="AS25" s="20">
        <v>5.2387157676259524E-2</v>
      </c>
      <c r="AT25" s="20">
        <v>3.0154505788259716E-2</v>
      </c>
      <c r="AU25" s="20">
        <v>5.8297088493792426E-3</v>
      </c>
      <c r="AV25" s="20">
        <v>6.5269333064652921E-2</v>
      </c>
      <c r="AW25" s="20">
        <v>7.6654238609753109E-2</v>
      </c>
      <c r="AX25" s="20">
        <v>0.47887981462122386</v>
      </c>
      <c r="AY25" s="20">
        <v>-1.5056512225084218E-2</v>
      </c>
      <c r="AZ25" s="20">
        <v>0.18305506003838828</v>
      </c>
      <c r="BA25" s="20">
        <v>0.21119806589105947</v>
      </c>
      <c r="BD25" s="20">
        <v>5.6746770947276468E-2</v>
      </c>
      <c r="BE25" s="20">
        <v>3.0180660424391138E-2</v>
      </c>
      <c r="BF25" s="20">
        <v>5.962655024140456E-3</v>
      </c>
      <c r="BG25" s="20">
        <v>6.3805055397706534E-2</v>
      </c>
      <c r="BH25" s="20">
        <v>7.6212225885253976E-2</v>
      </c>
      <c r="BI25" s="20">
        <v>0.47389546335022248</v>
      </c>
      <c r="BJ25" s="20">
        <v>0</v>
      </c>
      <c r="BK25" s="20">
        <v>0.180621777960221</v>
      </c>
      <c r="BL25" s="20">
        <v>0.20546547740659563</v>
      </c>
      <c r="BQ25" s="32"/>
      <c r="BR25" s="30"/>
      <c r="BS25" s="30"/>
      <c r="CB25" s="18">
        <v>24</v>
      </c>
      <c r="CC25" s="19">
        <v>0.25417000425333591</v>
      </c>
      <c r="CD25" s="19">
        <v>0.20095006269782367</v>
      </c>
      <c r="CE25" s="19">
        <v>9.9406085102182268E-2</v>
      </c>
      <c r="CF25" s="19">
        <v>0.12657374090569418</v>
      </c>
      <c r="CG25" s="19">
        <v>0.14287274645081682</v>
      </c>
      <c r="CH25" s="19">
        <v>0.17602736059014712</v>
      </c>
      <c r="CI25" s="20">
        <v>3.9179045987788631E-3</v>
      </c>
      <c r="CJ25" s="20">
        <v>3.9615100049970382E-2</v>
      </c>
      <c r="CN25" s="18">
        <v>24</v>
      </c>
      <c r="CO25" s="19">
        <v>0.24170427486456691</v>
      </c>
      <c r="CP25" s="19">
        <v>-1.0272081367945358</v>
      </c>
      <c r="CQ25" s="19">
        <v>1.004853288581089</v>
      </c>
      <c r="CR25" s="19">
        <v>0.4796414105529353</v>
      </c>
      <c r="CS25" s="19">
        <v>0.40600297725515538</v>
      </c>
      <c r="CT25" s="19">
        <v>-0.10499381445921087</v>
      </c>
      <c r="CU25" s="20">
        <v>2.9892631330245577E-2</v>
      </c>
      <c r="CV25" s="20">
        <v>9.1879590339801712E-2</v>
      </c>
      <c r="DA25" s="18">
        <f t="shared" si="6"/>
        <v>24</v>
      </c>
      <c r="DB25" s="19">
        <f t="shared" si="7"/>
        <v>0.24170427486456691</v>
      </c>
      <c r="DC25" s="19">
        <f t="shared" si="8"/>
        <v>-1.0272081367945358</v>
      </c>
      <c r="DD25" s="19">
        <f t="shared" si="9"/>
        <v>1.004853288581089</v>
      </c>
      <c r="DE25" s="19">
        <f t="shared" si="10"/>
        <v>0.4796414105529353</v>
      </c>
      <c r="DF25" s="19">
        <f t="shared" si="11"/>
        <v>0.40600297725515538</v>
      </c>
      <c r="DG25" s="19">
        <f t="shared" si="12"/>
        <v>-0.10499381445921087</v>
      </c>
      <c r="DH25" s="20">
        <f t="shared" si="13"/>
        <v>2.9892631330245577E-2</v>
      </c>
      <c r="DI25" s="20">
        <f t="shared" si="14"/>
        <v>9.1879590339801712E-2</v>
      </c>
      <c r="DJ25" s="2"/>
    </row>
    <row r="26" spans="1:114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S26" s="18">
        <v>29.26</v>
      </c>
      <c r="T26" s="18">
        <v>5.77</v>
      </c>
      <c r="U26" s="18">
        <v>185</v>
      </c>
      <c r="V26" s="18">
        <v>123.5</v>
      </c>
      <c r="W26" s="18">
        <v>8.08</v>
      </c>
      <c r="X26" s="18">
        <v>34.28</v>
      </c>
      <c r="AC26" s="18" t="s">
        <v>15</v>
      </c>
      <c r="AD26" s="20" cm="1">
        <f t="array" ref="AD26">MMULT($AL$75:$AQ$75,AE17:AE22)</f>
        <v>5.8297088493792426E-3</v>
      </c>
      <c r="AE26" s="33"/>
      <c r="AF26" s="33"/>
      <c r="AG26" s="33"/>
      <c r="AH26" s="33"/>
      <c r="AI26" s="33"/>
      <c r="AK26" s="25"/>
      <c r="AL26" s="26">
        <f t="shared" si="16"/>
        <v>-3.7453183520599056E-3</v>
      </c>
      <c r="AM26" s="26">
        <f t="shared" si="19"/>
        <v>4.9090909090909012E-2</v>
      </c>
      <c r="AN26" s="26">
        <f t="shared" si="20"/>
        <v>1.6483516483516484E-2</v>
      </c>
      <c r="AO26" s="26">
        <f t="shared" si="21"/>
        <v>9.2920353982300891E-2</v>
      </c>
      <c r="AP26" s="26">
        <f t="shared" si="22"/>
        <v>0.16426512968299706</v>
      </c>
      <c r="AQ26" s="26">
        <f t="shared" si="23"/>
        <v>-9.8132070507761043E-2</v>
      </c>
      <c r="AS26" s="30"/>
      <c r="AT26" s="30"/>
      <c r="AU26" s="30"/>
      <c r="AV26" s="30"/>
      <c r="AW26" s="30"/>
      <c r="AX26" s="30"/>
      <c r="AY26" s="30"/>
      <c r="AZ26" s="30"/>
      <c r="BA26" s="30"/>
      <c r="BD26" s="30"/>
      <c r="BE26" s="30"/>
      <c r="BF26" s="30"/>
      <c r="BG26" s="30"/>
      <c r="BH26" s="30"/>
      <c r="BI26" s="30"/>
      <c r="BJ26" s="30"/>
      <c r="BK26" s="30"/>
      <c r="BL26" s="30"/>
      <c r="BQ26" s="32"/>
      <c r="BR26" s="30"/>
      <c r="BS26" s="30"/>
      <c r="CB26" s="18">
        <v>25</v>
      </c>
      <c r="CC26" s="19">
        <v>1.547083199300113E-2</v>
      </c>
      <c r="CD26" s="19">
        <v>0.26240938768796007</v>
      </c>
      <c r="CE26" s="19">
        <v>0.36436631254371549</v>
      </c>
      <c r="CF26" s="19">
        <v>0.13788482986841313</v>
      </c>
      <c r="CG26" s="19">
        <v>4.7492970936962052E-2</v>
      </c>
      <c r="CH26" s="19">
        <v>0.17237566696994813</v>
      </c>
      <c r="CI26" s="20">
        <v>2.8983980708061022E-3</v>
      </c>
      <c r="CJ26" s="20">
        <v>3.5495047757417283E-2</v>
      </c>
      <c r="CN26" s="18">
        <v>25</v>
      </c>
      <c r="CO26" s="19">
        <v>0.26915948584670008</v>
      </c>
      <c r="CP26" s="19">
        <v>-9.5145983904782058E-2</v>
      </c>
      <c r="CQ26" s="19">
        <v>0.34025870303643141</v>
      </c>
      <c r="CR26" s="19">
        <v>0.49379077362411933</v>
      </c>
      <c r="CS26" s="19">
        <v>-0.46349827765812363</v>
      </c>
      <c r="CT26" s="19">
        <v>0.45543529905565489</v>
      </c>
      <c r="CU26" s="20">
        <v>3.5517627505602376E-4</v>
      </c>
      <c r="CV26" s="20">
        <v>7.1667418195548796E-2</v>
      </c>
      <c r="DA26" s="18">
        <f t="shared" si="6"/>
        <v>25</v>
      </c>
      <c r="DB26" s="19">
        <f t="shared" si="7"/>
        <v>0.26915948584670008</v>
      </c>
      <c r="DC26" s="19">
        <f t="shared" si="8"/>
        <v>-9.5145983904782058E-2</v>
      </c>
      <c r="DD26" s="19">
        <f t="shared" si="9"/>
        <v>0.34025870303643141</v>
      </c>
      <c r="DE26" s="19">
        <f t="shared" si="10"/>
        <v>0.49379077362411933</v>
      </c>
      <c r="DF26" s="19">
        <f t="shared" si="11"/>
        <v>-0.46349827765812363</v>
      </c>
      <c r="DG26" s="19">
        <f t="shared" si="12"/>
        <v>0.45543529905565489</v>
      </c>
      <c r="DH26" s="20">
        <f t="shared" si="13"/>
        <v>3.5517627505602376E-4</v>
      </c>
      <c r="DI26" s="20">
        <f t="shared" si="14"/>
        <v>7.1667418195548796E-2</v>
      </c>
      <c r="DJ26" s="2"/>
    </row>
    <row r="27" spans="1:114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S27" s="18">
        <v>33.65</v>
      </c>
      <c r="T27" s="18">
        <v>6.7</v>
      </c>
      <c r="U27" s="18">
        <v>177</v>
      </c>
      <c r="V27" s="18">
        <v>128</v>
      </c>
      <c r="W27" s="18">
        <v>8.23</v>
      </c>
      <c r="X27" s="18">
        <v>35.18</v>
      </c>
      <c r="AC27" s="18" t="s">
        <v>12</v>
      </c>
      <c r="AD27" s="20" cm="1">
        <f t="array" ref="AD27">SQRT(MMULT(TRANSPOSE(AE17:AE22),MMULT($AD$9:$AI$14,AE17:AE22)))</f>
        <v>3.0154505788259716E-2</v>
      </c>
      <c r="AE27" s="25"/>
      <c r="AF27" s="33"/>
      <c r="AG27" s="33"/>
      <c r="AH27" s="33"/>
      <c r="AI27" s="33"/>
      <c r="AK27" s="25"/>
      <c r="AL27" s="26">
        <f t="shared" si="16"/>
        <v>0.15003417634996571</v>
      </c>
      <c r="AM27" s="26">
        <f t="shared" si="19"/>
        <v>0.1611785095320625</v>
      </c>
      <c r="AN27" s="26">
        <f t="shared" si="20"/>
        <v>-4.3243243243243246E-2</v>
      </c>
      <c r="AO27" s="26">
        <f t="shared" si="21"/>
        <v>3.643724696356275E-2</v>
      </c>
      <c r="AP27" s="26">
        <f t="shared" si="22"/>
        <v>1.8564356435643609E-2</v>
      </c>
      <c r="AQ27" s="26">
        <f t="shared" si="23"/>
        <v>2.6254375729288171E-2</v>
      </c>
      <c r="AS27" s="30"/>
      <c r="AT27" s="30"/>
      <c r="AU27" s="30"/>
      <c r="AV27" s="30"/>
      <c r="AW27" s="30"/>
      <c r="AX27" s="30"/>
      <c r="AY27" s="30"/>
      <c r="AZ27" s="30"/>
      <c r="BA27" s="30"/>
      <c r="BD27" s="30"/>
      <c r="BE27" s="30"/>
      <c r="BF27" s="30"/>
      <c r="BG27" s="30"/>
      <c r="BH27" s="30"/>
      <c r="BI27" s="30"/>
      <c r="BJ27" s="30"/>
      <c r="BK27" s="30"/>
      <c r="BL27" s="30"/>
      <c r="BQ27" s="32"/>
      <c r="BR27" s="30"/>
      <c r="BS27" s="30"/>
      <c r="CB27" s="18">
        <v>26</v>
      </c>
      <c r="CC27" s="19">
        <v>0.22393111899765281</v>
      </c>
      <c r="CD27" s="19">
        <v>0.10392825992879902</v>
      </c>
      <c r="CE27" s="19">
        <v>0.11956877464353277</v>
      </c>
      <c r="CF27" s="19">
        <v>0.21695907686119145</v>
      </c>
      <c r="CG27" s="19">
        <v>0.12670430334665184</v>
      </c>
      <c r="CH27" s="19">
        <v>0.2089084662221721</v>
      </c>
      <c r="CI27" s="20">
        <v>5.7076417367546489E-3</v>
      </c>
      <c r="CJ27" s="20">
        <v>4.0593451757388661E-2</v>
      </c>
      <c r="CN27" s="18">
        <v>26</v>
      </c>
      <c r="CO27" s="19">
        <v>0.14915256986353287</v>
      </c>
      <c r="CP27" s="19">
        <v>0.39186320976945055</v>
      </c>
      <c r="CQ27" s="19">
        <v>-0.26272420009499481</v>
      </c>
      <c r="CR27" s="19">
        <v>0.4403859560502148</v>
      </c>
      <c r="CS27" s="19">
        <v>0.33886242720850013</v>
      </c>
      <c r="CT27" s="19">
        <v>-5.7539962796703523E-2</v>
      </c>
      <c r="CU27" s="20">
        <v>8.5001052107501612E-3</v>
      </c>
      <c r="CV27" s="20">
        <v>6.1654360287071136E-2</v>
      </c>
      <c r="DA27" s="18">
        <f t="shared" si="6"/>
        <v>26</v>
      </c>
      <c r="DB27" s="19">
        <f t="shared" si="7"/>
        <v>0.14915256986353287</v>
      </c>
      <c r="DC27" s="19">
        <f t="shared" si="8"/>
        <v>0.39186320976945055</v>
      </c>
      <c r="DD27" s="19">
        <f t="shared" si="9"/>
        <v>-0.26272420009499481</v>
      </c>
      <c r="DE27" s="19">
        <f t="shared" si="10"/>
        <v>0.4403859560502148</v>
      </c>
      <c r="DF27" s="19">
        <f t="shared" si="11"/>
        <v>0.33886242720850013</v>
      </c>
      <c r="DG27" s="19">
        <f t="shared" si="12"/>
        <v>-5.7539962796703523E-2</v>
      </c>
      <c r="DH27" s="20">
        <f t="shared" si="13"/>
        <v>8.5001052107501612E-3</v>
      </c>
      <c r="DI27" s="20">
        <f t="shared" si="14"/>
        <v>6.1654360287071136E-2</v>
      </c>
      <c r="DJ27" s="2"/>
    </row>
    <row r="28" spans="1:114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S28" s="18">
        <v>31.03</v>
      </c>
      <c r="T28" s="18">
        <v>6.44</v>
      </c>
      <c r="U28" s="18">
        <v>178.5</v>
      </c>
      <c r="V28" s="18">
        <v>129.5</v>
      </c>
      <c r="W28" s="18">
        <v>9.3000000000000007</v>
      </c>
      <c r="X28" s="18">
        <v>34.520000000000003</v>
      </c>
      <c r="AC28" s="18" t="s">
        <v>14</v>
      </c>
      <c r="AD28" s="34">
        <f>AD27^2</f>
        <v>9.0929421933418867E-4</v>
      </c>
      <c r="AE28" s="33"/>
      <c r="AF28" s="33"/>
      <c r="AG28" s="33"/>
      <c r="AH28" s="33"/>
      <c r="AI28" s="33"/>
      <c r="AK28" s="25"/>
      <c r="AL28" s="26">
        <f t="shared" si="16"/>
        <v>-7.786032689450216E-2</v>
      </c>
      <c r="AM28" s="26">
        <f t="shared" si="19"/>
        <v>-3.8805970149253702E-2</v>
      </c>
      <c r="AN28" s="26">
        <f t="shared" si="20"/>
        <v>8.4745762711864406E-3</v>
      </c>
      <c r="AO28" s="26">
        <f t="shared" si="21"/>
        <v>1.171875E-2</v>
      </c>
      <c r="AP28" s="26">
        <f t="shared" si="22"/>
        <v>0.13001215066828678</v>
      </c>
      <c r="AQ28" s="26">
        <f t="shared" si="23"/>
        <v>-1.8760659465605362E-2</v>
      </c>
      <c r="AS28" s="30"/>
      <c r="AT28" s="30"/>
      <c r="AU28" s="30"/>
      <c r="AV28" s="30"/>
      <c r="AW28" s="30"/>
      <c r="AX28" s="30"/>
      <c r="AY28" s="30"/>
      <c r="AZ28" s="30"/>
      <c r="BA28" s="30"/>
      <c r="BD28" s="30"/>
      <c r="BE28" s="30"/>
      <c r="BF28" s="30"/>
      <c r="BG28" s="30"/>
      <c r="BH28" s="30"/>
      <c r="BI28" s="30"/>
      <c r="BJ28" s="30"/>
      <c r="BK28" s="30"/>
      <c r="BL28" s="30"/>
      <c r="BQ28" s="32"/>
      <c r="BR28" s="30"/>
      <c r="BS28" s="30"/>
      <c r="CB28" s="18">
        <v>27</v>
      </c>
      <c r="CC28" s="19">
        <v>0.219547736431601</v>
      </c>
      <c r="CD28" s="19">
        <v>7.5188333401723748E-2</v>
      </c>
      <c r="CE28" s="19">
        <v>0.12046935953796001</v>
      </c>
      <c r="CF28" s="19">
        <v>3.7804606047033618E-2</v>
      </c>
      <c r="CG28" s="19">
        <v>0.42412597623881798</v>
      </c>
      <c r="CH28" s="19">
        <v>0.12286398834286362</v>
      </c>
      <c r="CI28" s="20">
        <v>9.6019639085125914E-3</v>
      </c>
      <c r="CJ28" s="20">
        <v>3.8053245048105561E-2</v>
      </c>
      <c r="CN28" s="18">
        <v>27</v>
      </c>
      <c r="CO28" s="19">
        <v>-11.971168437025797</v>
      </c>
      <c r="CP28" s="19">
        <v>403.60385610997054</v>
      </c>
      <c r="CQ28" s="19">
        <v>501.52432384182811</v>
      </c>
      <c r="CR28" s="19">
        <v>-175.86003748995805</v>
      </c>
      <c r="CS28" s="19">
        <v>-455.95617245380703</v>
      </c>
      <c r="CT28" s="19">
        <v>-260.34080157100777</v>
      </c>
      <c r="CU28" s="20">
        <v>-12.01309920283725</v>
      </c>
      <c r="CV28" s="20">
        <v>46.85683152832604</v>
      </c>
      <c r="DA28" s="18">
        <f t="shared" si="6"/>
        <v>27</v>
      </c>
      <c r="DB28" s="19">
        <f t="shared" si="7"/>
        <v>-11.971168437025797</v>
      </c>
      <c r="DC28" s="19">
        <f t="shared" si="8"/>
        <v>403.60385610997054</v>
      </c>
      <c r="DD28" s="19">
        <f t="shared" si="9"/>
        <v>501.52432384182811</v>
      </c>
      <c r="DE28" s="19">
        <f t="shared" si="10"/>
        <v>-175.86003748995805</v>
      </c>
      <c r="DF28" s="19">
        <f t="shared" si="11"/>
        <v>-455.95617245380703</v>
      </c>
      <c r="DG28" s="19">
        <f t="shared" si="12"/>
        <v>-260.34080157100777</v>
      </c>
      <c r="DH28" s="20">
        <f t="shared" si="13"/>
        <v>-12.01309920283725</v>
      </c>
      <c r="DI28" s="20">
        <f t="shared" si="14"/>
        <v>46.85683152832604</v>
      </c>
      <c r="DJ28" s="2"/>
    </row>
    <row r="29" spans="1:114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S29" s="18">
        <v>31.97</v>
      </c>
      <c r="T29" s="18">
        <v>6.44</v>
      </c>
      <c r="U29" s="18">
        <v>177.5</v>
      </c>
      <c r="V29" s="18">
        <v>127</v>
      </c>
      <c r="W29" s="18">
        <v>8.07</v>
      </c>
      <c r="X29" s="18">
        <v>35.049999999999997</v>
      </c>
      <c r="AC29" s="18" t="s">
        <v>13</v>
      </c>
      <c r="AD29" s="27">
        <f>(AD26-AH16)/AD27</f>
        <v>5.2387157676259524E-2</v>
      </c>
      <c r="AE29" s="33"/>
      <c r="AF29" s="33"/>
      <c r="AG29" s="33"/>
      <c r="AH29" s="33"/>
      <c r="AI29" s="33"/>
      <c r="AK29" s="25"/>
      <c r="AL29" s="26">
        <f t="shared" si="16"/>
        <v>3.0293264582661867E-2</v>
      </c>
      <c r="AM29" s="26">
        <f t="shared" si="19"/>
        <v>0</v>
      </c>
      <c r="AN29" s="26">
        <f t="shared" si="20"/>
        <v>-5.6022408963585435E-3</v>
      </c>
      <c r="AO29" s="26">
        <f t="shared" si="21"/>
        <v>-1.9305019305019305E-2</v>
      </c>
      <c r="AP29" s="26">
        <f t="shared" si="22"/>
        <v>-0.13225806451612906</v>
      </c>
      <c r="AQ29" s="26">
        <f t="shared" si="23"/>
        <v>1.5353418308226941E-2</v>
      </c>
      <c r="AS29" s="30"/>
      <c r="AT29" s="30"/>
      <c r="AU29" s="30"/>
      <c r="AV29" s="30"/>
      <c r="AW29" s="30"/>
      <c r="AX29" s="30"/>
      <c r="AY29" s="46" t="s">
        <v>45</v>
      </c>
      <c r="AZ29" s="46"/>
      <c r="BA29" s="46"/>
      <c r="BB29" s="46"/>
      <c r="BC29" s="46"/>
      <c r="BD29" s="46"/>
      <c r="BE29" s="46"/>
      <c r="BF29" s="46"/>
      <c r="BG29" s="46"/>
      <c r="BH29" s="30"/>
      <c r="BI29" s="30"/>
      <c r="BJ29" s="30"/>
      <c r="BK29" s="30"/>
      <c r="BL29" s="30"/>
      <c r="BQ29" s="32"/>
      <c r="BR29" s="30"/>
      <c r="BS29" s="30"/>
      <c r="CB29" s="18">
        <v>28</v>
      </c>
      <c r="CC29" s="19">
        <v>0.20161137375338081</v>
      </c>
      <c r="CD29" s="19">
        <v>0.10001606863260019</v>
      </c>
      <c r="CE29" s="19">
        <v>0.27800548316570145</v>
      </c>
      <c r="CF29" s="19">
        <v>0.10404055633436093</v>
      </c>
      <c r="CG29" s="19">
        <v>0.25944188671604296</v>
      </c>
      <c r="CH29" s="19">
        <v>5.6884631397913686E-2</v>
      </c>
      <c r="CI29" s="20">
        <v>7.8877425304295957E-3</v>
      </c>
      <c r="CJ29" s="20">
        <v>3.4338983801799054E-2</v>
      </c>
      <c r="CN29" s="18">
        <v>28</v>
      </c>
      <c r="CO29" s="19">
        <v>0.10616497024995725</v>
      </c>
      <c r="CP29" s="19">
        <v>0.42497260560198574</v>
      </c>
      <c r="CQ29" s="19">
        <v>-0.14662167360901185</v>
      </c>
      <c r="CR29" s="19">
        <v>0.49014811754448467</v>
      </c>
      <c r="CS29" s="19">
        <v>0.36089403646290097</v>
      </c>
      <c r="CT29" s="19">
        <v>-0.23555805625031678</v>
      </c>
      <c r="CU29" s="20">
        <v>1.0087210837086597E-2</v>
      </c>
      <c r="CV29" s="20">
        <v>6.3858865966801265E-2</v>
      </c>
      <c r="DA29" s="18">
        <f t="shared" si="6"/>
        <v>28</v>
      </c>
      <c r="DB29" s="19">
        <f t="shared" si="7"/>
        <v>0.10616497024995725</v>
      </c>
      <c r="DC29" s="19">
        <f t="shared" si="8"/>
        <v>0.42497260560198574</v>
      </c>
      <c r="DD29" s="19">
        <f t="shared" si="9"/>
        <v>-0.14662167360901185</v>
      </c>
      <c r="DE29" s="19">
        <f t="shared" si="10"/>
        <v>0.49014811754448467</v>
      </c>
      <c r="DF29" s="19">
        <f t="shared" si="11"/>
        <v>0.36089403646290097</v>
      </c>
      <c r="DG29" s="19">
        <f t="shared" si="12"/>
        <v>-0.23555805625031678</v>
      </c>
      <c r="DH29" s="20">
        <f t="shared" si="13"/>
        <v>1.0087210837086597E-2</v>
      </c>
      <c r="DI29" s="20">
        <f t="shared" si="14"/>
        <v>6.3858865966801265E-2</v>
      </c>
      <c r="DJ29" s="2"/>
    </row>
    <row r="30" spans="1:114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S30" s="18">
        <v>29.59</v>
      </c>
      <c r="T30" s="18">
        <v>6.66</v>
      </c>
      <c r="U30" s="18">
        <v>189</v>
      </c>
      <c r="V30" s="18">
        <v>126</v>
      </c>
      <c r="W30" s="18">
        <v>7.7</v>
      </c>
      <c r="X30" s="18">
        <v>36.630000000000003</v>
      </c>
      <c r="AD30" s="30"/>
      <c r="AE30" s="33"/>
      <c r="AF30" s="33"/>
      <c r="AG30" s="33"/>
      <c r="AH30" s="33"/>
      <c r="AI30" s="33"/>
      <c r="AK30" s="25"/>
      <c r="AL30" s="26">
        <f t="shared" si="16"/>
        <v>-7.4444791992492931E-2</v>
      </c>
      <c r="AM30" s="26">
        <f t="shared" si="19"/>
        <v>3.4161490683229774E-2</v>
      </c>
      <c r="AN30" s="26">
        <f t="shared" si="20"/>
        <v>6.4788732394366194E-2</v>
      </c>
      <c r="AO30" s="26">
        <f t="shared" si="21"/>
        <v>-7.874015748031496E-3</v>
      </c>
      <c r="AP30" s="26">
        <f t="shared" si="22"/>
        <v>-4.5848822800495674E-2</v>
      </c>
      <c r="AQ30" s="26">
        <f t="shared" si="23"/>
        <v>4.5078459343794737E-2</v>
      </c>
      <c r="AS30" s="30"/>
      <c r="AT30" s="30"/>
      <c r="AU30" s="30"/>
      <c r="AV30" s="30"/>
      <c r="AW30" s="30"/>
      <c r="AX30" s="30"/>
      <c r="AY30" s="22" t="s">
        <v>34</v>
      </c>
      <c r="AZ30" s="22" t="s">
        <v>12</v>
      </c>
      <c r="BA30" s="22" t="s">
        <v>15</v>
      </c>
      <c r="BB30" s="22" t="s">
        <v>0</v>
      </c>
      <c r="BC30" s="22" t="s">
        <v>1</v>
      </c>
      <c r="BD30" s="22" t="s">
        <v>2</v>
      </c>
      <c r="BE30" s="22" t="s">
        <v>3</v>
      </c>
      <c r="BF30" s="22" t="s">
        <v>4</v>
      </c>
      <c r="BG30" s="22" t="s">
        <v>5</v>
      </c>
      <c r="BH30" s="30"/>
      <c r="BI30" s="30"/>
      <c r="BJ30" s="30"/>
      <c r="BK30" s="30"/>
      <c r="BL30" s="30"/>
      <c r="BQ30" s="32"/>
      <c r="BR30" s="30"/>
      <c r="BS30" s="30"/>
      <c r="CB30" s="18">
        <v>29</v>
      </c>
      <c r="CC30" s="19">
        <v>0.1540996363875706</v>
      </c>
      <c r="CD30" s="19">
        <v>3.7351530026916963E-2</v>
      </c>
      <c r="CE30" s="19">
        <v>0.25339388693344844</v>
      </c>
      <c r="CF30" s="19">
        <v>0.23257713275029829</v>
      </c>
      <c r="CG30" s="19">
        <v>0.30703378434744544</v>
      </c>
      <c r="CH30" s="19">
        <v>1.5544029554320299E-2</v>
      </c>
      <c r="CI30" s="20">
        <v>1.0971243090755183E-2</v>
      </c>
      <c r="CJ30" s="20">
        <v>3.8881727995364143E-2</v>
      </c>
      <c r="CN30" s="18">
        <v>29</v>
      </c>
      <c r="CO30" s="19">
        <v>-1.062187167627251E-2</v>
      </c>
      <c r="CP30" s="19">
        <v>0.75493677579035057</v>
      </c>
      <c r="CQ30" s="19">
        <v>-1.1705576329998584</v>
      </c>
      <c r="CR30" s="19">
        <v>6.81477455481663E-2</v>
      </c>
      <c r="CS30" s="19">
        <v>1.181462476301304</v>
      </c>
      <c r="CT30" s="19">
        <v>0.17663250703631025</v>
      </c>
      <c r="CU30" s="20">
        <v>1.1873350603302938E-2</v>
      </c>
      <c r="CV30" s="20">
        <v>0.1102075081254139</v>
      </c>
      <c r="DA30" s="18">
        <f t="shared" si="6"/>
        <v>29</v>
      </c>
      <c r="DB30" s="19">
        <f t="shared" si="7"/>
        <v>-1.062187167627251E-2</v>
      </c>
      <c r="DC30" s="19">
        <f t="shared" si="8"/>
        <v>0.75493677579035057</v>
      </c>
      <c r="DD30" s="19">
        <f t="shared" si="9"/>
        <v>-1.1705576329998584</v>
      </c>
      <c r="DE30" s="19">
        <f t="shared" si="10"/>
        <v>6.81477455481663E-2</v>
      </c>
      <c r="DF30" s="19">
        <f t="shared" si="11"/>
        <v>1.181462476301304</v>
      </c>
      <c r="DG30" s="19">
        <f t="shared" si="12"/>
        <v>0.17663250703631025</v>
      </c>
      <c r="DH30" s="20">
        <f t="shared" si="13"/>
        <v>1.1873350603302938E-2</v>
      </c>
      <c r="DI30" s="20">
        <f t="shared" si="14"/>
        <v>0.1102075081254139</v>
      </c>
      <c r="DJ30" s="2"/>
    </row>
    <row r="31" spans="1:114" x14ac:dyDescent="0.3">
      <c r="A31" s="16" t="s">
        <v>50</v>
      </c>
      <c r="B31" s="47" t="s">
        <v>52</v>
      </c>
      <c r="C31" s="47"/>
      <c r="D31" s="48" t="s">
        <v>51</v>
      </c>
      <c r="E31" s="49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S31" s="18">
        <v>27.05</v>
      </c>
      <c r="T31" s="18">
        <v>6.02</v>
      </c>
      <c r="U31" s="18">
        <v>177</v>
      </c>
      <c r="V31" s="18">
        <v>127</v>
      </c>
      <c r="W31" s="18">
        <v>7.27</v>
      </c>
      <c r="X31" s="18">
        <v>34.229999999999997</v>
      </c>
      <c r="AD31" s="30"/>
      <c r="AK31" s="25"/>
      <c r="AL31" s="26">
        <f t="shared" si="16"/>
        <v>-8.5839810746873912E-2</v>
      </c>
      <c r="AM31" s="26">
        <f t="shared" si="19"/>
        <v>-9.6096096096096179E-2</v>
      </c>
      <c r="AN31" s="26">
        <f t="shared" si="20"/>
        <v>-6.3492063492063489E-2</v>
      </c>
      <c r="AO31" s="26">
        <f t="shared" si="21"/>
        <v>7.9365079365079361E-3</v>
      </c>
      <c r="AP31" s="26">
        <f t="shared" si="22"/>
        <v>-5.5844155844155918E-2</v>
      </c>
      <c r="AQ31" s="26">
        <f t="shared" si="23"/>
        <v>-6.5520065520065673E-2</v>
      </c>
      <c r="AS31" s="30"/>
      <c r="AT31" s="30"/>
      <c r="AU31" s="30"/>
      <c r="AV31" s="30"/>
      <c r="AW31" s="30"/>
      <c r="AX31" s="30"/>
      <c r="AY31" s="20">
        <f>IF($BZ$2=1,AS25,BD25)</f>
        <v>5.2387157676259524E-2</v>
      </c>
      <c r="AZ31" s="20">
        <f>IF($BZ$2=1,AT25,BE25)</f>
        <v>3.0154505788259716E-2</v>
      </c>
      <c r="BA31" s="20">
        <f t="shared" ref="BA31:BD31" si="24">IF($BZ$2=1,AU25,BF25)</f>
        <v>5.8297088493792426E-3</v>
      </c>
      <c r="BB31" s="20">
        <f t="shared" si="24"/>
        <v>6.5269333064652921E-2</v>
      </c>
      <c r="BC31" s="20">
        <f t="shared" si="24"/>
        <v>7.6654238609753109E-2</v>
      </c>
      <c r="BD31" s="20">
        <f t="shared" si="24"/>
        <v>0.47887981462122386</v>
      </c>
      <c r="BE31" s="20">
        <f>IF($BZ$2=1,AY25,BJ25)</f>
        <v>-1.5056512225084218E-2</v>
      </c>
      <c r="BF31" s="20">
        <f>IF($BZ$2=1,AZ25,BK25)</f>
        <v>0.18305506003838828</v>
      </c>
      <c r="BG31" s="20">
        <f t="shared" ref="BG31" si="25">IF($BZ$2=1,BA25,BL25)</f>
        <v>0.21119806589105947</v>
      </c>
      <c r="BH31" s="30"/>
      <c r="BI31" s="30"/>
      <c r="BJ31" s="30"/>
      <c r="BK31" s="30"/>
      <c r="BL31" s="30"/>
      <c r="BQ31" s="32"/>
      <c r="BR31" s="30"/>
      <c r="BS31" s="30"/>
      <c r="CB31" s="18">
        <v>30</v>
      </c>
      <c r="CC31" s="19">
        <v>0.10161903394294884</v>
      </c>
      <c r="CD31" s="19">
        <v>4.3310002534156636E-2</v>
      </c>
      <c r="CE31" s="19">
        <v>0.10440114395808241</v>
      </c>
      <c r="CF31" s="19">
        <v>0.24267871870832808</v>
      </c>
      <c r="CG31" s="19">
        <v>0.20030257620859906</v>
      </c>
      <c r="CH31" s="19">
        <v>0.30768852464788499</v>
      </c>
      <c r="CI31" s="20">
        <v>7.7842795043598029E-3</v>
      </c>
      <c r="CJ31" s="20">
        <v>4.0581358329070089E-2</v>
      </c>
      <c r="CN31" s="18">
        <v>30</v>
      </c>
      <c r="CO31" s="19">
        <v>-5.2631942330678028</v>
      </c>
      <c r="CP31" s="19">
        <v>6.2910043875604122</v>
      </c>
      <c r="CQ31" s="19">
        <v>9.7470344991425328</v>
      </c>
      <c r="CR31" s="19">
        <v>8.0195309542015902</v>
      </c>
      <c r="CS31" s="19">
        <v>-8.0489669559536452</v>
      </c>
      <c r="CT31" s="19">
        <v>-9.7454086518830874</v>
      </c>
      <c r="CU31" s="20">
        <v>-4.9919920291869507E-2</v>
      </c>
      <c r="CV31" s="20">
        <v>1.091151308670812</v>
      </c>
      <c r="DA31" s="18">
        <f t="shared" si="6"/>
        <v>30</v>
      </c>
      <c r="DB31" s="19">
        <f t="shared" si="7"/>
        <v>-5.2631942330678028</v>
      </c>
      <c r="DC31" s="19">
        <f t="shared" si="8"/>
        <v>6.2910043875604122</v>
      </c>
      <c r="DD31" s="19">
        <f t="shared" si="9"/>
        <v>9.7470344991425328</v>
      </c>
      <c r="DE31" s="19">
        <f t="shared" si="10"/>
        <v>8.0195309542015902</v>
      </c>
      <c r="DF31" s="19">
        <f t="shared" si="11"/>
        <v>-8.0489669559536452</v>
      </c>
      <c r="DG31" s="19">
        <f t="shared" si="12"/>
        <v>-9.7454086518830874</v>
      </c>
      <c r="DH31" s="20">
        <f t="shared" si="13"/>
        <v>-4.9919920291869507E-2</v>
      </c>
      <c r="DI31" s="20">
        <f t="shared" si="14"/>
        <v>1.091151308670812</v>
      </c>
      <c r="DJ31" s="2"/>
    </row>
    <row r="32" spans="1:114" x14ac:dyDescent="0.3">
      <c r="A32" s="15"/>
      <c r="B32" s="16" t="s">
        <v>22</v>
      </c>
      <c r="C32" s="16" t="s">
        <v>23</v>
      </c>
      <c r="D32" s="16" t="s">
        <v>22</v>
      </c>
      <c r="E32" s="16" t="s">
        <v>23</v>
      </c>
      <c r="F32" s="3"/>
      <c r="G32" s="11" t="s">
        <v>26</v>
      </c>
      <c r="H32" s="12" t="s">
        <v>0</v>
      </c>
      <c r="I32" s="11" t="s">
        <v>1</v>
      </c>
      <c r="J32" s="11" t="s">
        <v>2</v>
      </c>
      <c r="K32" s="11" t="s">
        <v>3</v>
      </c>
      <c r="L32" s="11" t="s">
        <v>4</v>
      </c>
      <c r="M32" s="11" t="s">
        <v>5</v>
      </c>
      <c r="N32" s="3"/>
      <c r="O32" s="3"/>
      <c r="P32" s="3"/>
      <c r="Q32" s="3"/>
      <c r="S32" s="18">
        <v>26.45</v>
      </c>
      <c r="T32" s="18">
        <v>6.61</v>
      </c>
      <c r="U32" s="18">
        <v>188.5</v>
      </c>
      <c r="V32" s="18">
        <v>136</v>
      </c>
      <c r="W32" s="18">
        <v>8</v>
      </c>
      <c r="X32" s="18">
        <v>35.65</v>
      </c>
      <c r="AC32" s="22" t="s">
        <v>40</v>
      </c>
      <c r="AD32" s="33"/>
      <c r="AE32" s="26" t="str">
        <f>"Envelope portfolio with Risk-Free Rate = " &amp; AH32</f>
        <v>Envelope portfolio with Risk-Free Rate = 0.00425</v>
      </c>
      <c r="AG32" s="18" t="s">
        <v>16</v>
      </c>
      <c r="AH32" s="27">
        <v>4.2500000000000003E-3</v>
      </c>
      <c r="AK32" s="25"/>
      <c r="AL32" s="26">
        <f t="shared" si="16"/>
        <v>-2.2181146025878055E-2</v>
      </c>
      <c r="AM32" s="26">
        <f t="shared" si="19"/>
        <v>9.8006644518272554E-2</v>
      </c>
      <c r="AN32" s="26">
        <f t="shared" si="20"/>
        <v>6.4971751412429377E-2</v>
      </c>
      <c r="AO32" s="26">
        <f t="shared" si="21"/>
        <v>7.0866141732283464E-2</v>
      </c>
      <c r="AP32" s="26">
        <f t="shared" si="22"/>
        <v>0.10041265474552964</v>
      </c>
      <c r="AQ32" s="26">
        <f t="shared" si="23"/>
        <v>4.1484078293894298E-2</v>
      </c>
      <c r="AS32" s="30"/>
      <c r="AT32" s="30"/>
      <c r="AU32" s="30"/>
      <c r="AV32" s="30"/>
      <c r="AW32" s="30"/>
      <c r="AX32" s="30"/>
      <c r="AY32" s="30"/>
      <c r="AZ32" s="30"/>
      <c r="BA32" s="30"/>
      <c r="BD32" s="30"/>
      <c r="BE32" s="30"/>
      <c r="BF32" s="30"/>
      <c r="BG32" s="30"/>
      <c r="BH32" s="30"/>
      <c r="BI32" s="30"/>
      <c r="BJ32" s="30"/>
      <c r="BK32" s="30"/>
      <c r="BL32" s="30"/>
      <c r="BQ32" s="32"/>
      <c r="BR32" s="30"/>
      <c r="BS32" s="30"/>
      <c r="CB32" s="18">
        <v>31</v>
      </c>
      <c r="CC32" s="19">
        <v>0.24347985403927691</v>
      </c>
      <c r="CD32" s="19">
        <v>0.16297710667193135</v>
      </c>
      <c r="CE32" s="19">
        <v>0.17852183004738065</v>
      </c>
      <c r="CF32" s="19">
        <v>5.5956017434363077E-2</v>
      </c>
      <c r="CG32" s="19">
        <v>0.26534432975793537</v>
      </c>
      <c r="CH32" s="19">
        <v>9.3720862049112605E-2</v>
      </c>
      <c r="CI32" s="20">
        <v>6.2629102204443286E-3</v>
      </c>
      <c r="CJ32" s="20">
        <v>3.6132455150517669E-2</v>
      </c>
      <c r="CN32" s="18">
        <v>31</v>
      </c>
      <c r="CO32" s="19">
        <v>1.1635825124839307</v>
      </c>
      <c r="CP32" s="19">
        <v>0.82769123438915593</v>
      </c>
      <c r="CQ32" s="19">
        <v>0.2912894531373369</v>
      </c>
      <c r="CR32" s="19">
        <v>0.74102409658177026</v>
      </c>
      <c r="CS32" s="19">
        <v>-1.1394044960703891</v>
      </c>
      <c r="CT32" s="19">
        <v>-0.88418280052180487</v>
      </c>
      <c r="CU32" s="20">
        <v>-1.628016535260431E-2</v>
      </c>
      <c r="CV32" s="20">
        <v>0.14512515132619599</v>
      </c>
      <c r="DA32" s="18">
        <f t="shared" si="6"/>
        <v>31</v>
      </c>
      <c r="DB32" s="19">
        <f t="shared" si="7"/>
        <v>1.1635825124839307</v>
      </c>
      <c r="DC32" s="19">
        <f t="shared" si="8"/>
        <v>0.82769123438915593</v>
      </c>
      <c r="DD32" s="19">
        <f t="shared" si="9"/>
        <v>0.2912894531373369</v>
      </c>
      <c r="DE32" s="19">
        <f t="shared" si="10"/>
        <v>0.74102409658177026</v>
      </c>
      <c r="DF32" s="19">
        <f t="shared" si="11"/>
        <v>-1.1394044960703891</v>
      </c>
      <c r="DG32" s="19">
        <f t="shared" si="12"/>
        <v>-0.88418280052180487</v>
      </c>
      <c r="DH32" s="20">
        <f t="shared" si="13"/>
        <v>-1.628016535260431E-2</v>
      </c>
      <c r="DI32" s="20">
        <f t="shared" si="14"/>
        <v>0.14512515132619599</v>
      </c>
      <c r="DJ32" s="2"/>
    </row>
    <row r="33" spans="1:114" x14ac:dyDescent="0.3">
      <c r="A33" s="16" t="s">
        <v>35</v>
      </c>
      <c r="B33" s="17">
        <f>AU25</f>
        <v>5.8297088493792426E-3</v>
      </c>
      <c r="C33" s="17">
        <f>AT25</f>
        <v>3.0154505788259716E-2</v>
      </c>
      <c r="D33" s="17">
        <f>BF25</f>
        <v>5.962655024140456E-3</v>
      </c>
      <c r="E33" s="17">
        <f>BE25</f>
        <v>3.0180660424391138E-2</v>
      </c>
      <c r="F33" s="3"/>
      <c r="G33" s="11" t="s">
        <v>36</v>
      </c>
      <c r="H33" s="13">
        <f t="shared" ref="H33:M33" si="26">AZ35</f>
        <v>0.25193131006501185</v>
      </c>
      <c r="I33" s="13">
        <f t="shared" si="26"/>
        <v>-0.61921543782937016</v>
      </c>
      <c r="J33" s="13">
        <f t="shared" si="26"/>
        <v>0.53288347089042043</v>
      </c>
      <c r="K33" s="13">
        <f t="shared" si="26"/>
        <v>0.23820351959946259</v>
      </c>
      <c r="L33" s="13">
        <f t="shared" si="26"/>
        <v>1.0054218086276219</v>
      </c>
      <c r="M33" s="13">
        <f t="shared" si="26"/>
        <v>-0.40922467135315321</v>
      </c>
      <c r="N33" s="3"/>
      <c r="O33" s="3"/>
      <c r="P33" s="3"/>
      <c r="Q33" s="3"/>
      <c r="S33" s="18">
        <v>25.18</v>
      </c>
      <c r="T33" s="18">
        <v>5.95</v>
      </c>
      <c r="U33" s="18">
        <v>192.5</v>
      </c>
      <c r="V33" s="18">
        <v>126</v>
      </c>
      <c r="W33" s="18">
        <v>7.31</v>
      </c>
      <c r="X33" s="18">
        <v>32.26</v>
      </c>
      <c r="AC33" s="22" t="s">
        <v>0</v>
      </c>
      <c r="AD33" s="33"/>
      <c r="AE33" s="29">
        <v>6.3805055397706534E-2</v>
      </c>
      <c r="AK33" s="25"/>
      <c r="AL33" s="26">
        <f t="shared" si="16"/>
        <v>-4.8015122873345924E-2</v>
      </c>
      <c r="AM33" s="26">
        <f t="shared" si="19"/>
        <v>-9.9848714069591546E-2</v>
      </c>
      <c r="AN33" s="26">
        <f t="shared" si="20"/>
        <v>2.1220159151193633E-2</v>
      </c>
      <c r="AO33" s="26">
        <f t="shared" si="21"/>
        <v>-7.3529411764705885E-2</v>
      </c>
      <c r="AP33" s="26">
        <f t="shared" si="22"/>
        <v>-8.6250000000000049E-2</v>
      </c>
      <c r="AQ33" s="26">
        <f t="shared" si="23"/>
        <v>-9.5091164095371689E-2</v>
      </c>
      <c r="AS33" s="30"/>
      <c r="AT33" s="30"/>
      <c r="AU33" s="30"/>
      <c r="AV33" s="30"/>
      <c r="AW33" s="30"/>
      <c r="AX33" s="30"/>
      <c r="AY33" s="30"/>
      <c r="AZ33" s="41" t="s">
        <v>47</v>
      </c>
      <c r="BA33" s="41"/>
      <c r="BB33" s="41"/>
      <c r="BC33" s="41"/>
      <c r="BD33" s="41"/>
      <c r="BE33" s="41"/>
      <c r="BF33" s="30"/>
      <c r="BG33" s="30"/>
      <c r="BH33" s="30"/>
      <c r="BI33" s="30"/>
      <c r="BJ33" s="30"/>
      <c r="BK33" s="30"/>
      <c r="BL33" s="30"/>
      <c r="BQ33" s="32"/>
      <c r="BR33" s="30"/>
      <c r="BS33" s="30"/>
      <c r="CB33" s="18">
        <v>32</v>
      </c>
      <c r="CC33" s="19">
        <v>0.14549116782245716</v>
      </c>
      <c r="CD33" s="19">
        <v>0.14470946308398686</v>
      </c>
      <c r="CE33" s="19">
        <v>0.18584379205865451</v>
      </c>
      <c r="CF33" s="19">
        <v>0.17321854351116397</v>
      </c>
      <c r="CG33" s="19">
        <v>0.16647855871952291</v>
      </c>
      <c r="CH33" s="19">
        <v>0.18425847480421459</v>
      </c>
      <c r="CI33" s="20">
        <v>5.8894576614176644E-3</v>
      </c>
      <c r="CJ33" s="20">
        <v>3.6704522930686219E-2</v>
      </c>
      <c r="CN33" s="18">
        <v>32</v>
      </c>
      <c r="CO33" s="19">
        <v>-0.18947510926361155</v>
      </c>
      <c r="CP33" s="19">
        <v>-0.53332753199132954</v>
      </c>
      <c r="CQ33" s="19">
        <v>0.8252924008008623</v>
      </c>
      <c r="CR33" s="19">
        <v>0.56308259665296745</v>
      </c>
      <c r="CS33" s="19">
        <v>1.0967173318741295</v>
      </c>
      <c r="CT33" s="19">
        <v>-0.76228968807301822</v>
      </c>
      <c r="CU33" s="20">
        <v>3.9793866918426256E-2</v>
      </c>
      <c r="CV33" s="20">
        <v>0.10606121930529075</v>
      </c>
      <c r="DA33" s="18">
        <f t="shared" si="6"/>
        <v>32</v>
      </c>
      <c r="DB33" s="19">
        <f t="shared" si="7"/>
        <v>-0.18947510926361155</v>
      </c>
      <c r="DC33" s="19">
        <f t="shared" si="8"/>
        <v>-0.53332753199132954</v>
      </c>
      <c r="DD33" s="19">
        <f t="shared" si="9"/>
        <v>0.8252924008008623</v>
      </c>
      <c r="DE33" s="19">
        <f t="shared" si="10"/>
        <v>0.56308259665296745</v>
      </c>
      <c r="DF33" s="19">
        <f t="shared" si="11"/>
        <v>1.0967173318741295</v>
      </c>
      <c r="DG33" s="19">
        <f t="shared" si="12"/>
        <v>-0.76228968807301822</v>
      </c>
      <c r="DH33" s="20">
        <f t="shared" si="13"/>
        <v>3.9793866918426256E-2</v>
      </c>
      <c r="DI33" s="20">
        <f t="shared" si="14"/>
        <v>0.10606121930529075</v>
      </c>
      <c r="DJ33" s="2"/>
    </row>
    <row r="34" spans="1:114" x14ac:dyDescent="0.3">
      <c r="A34" s="16" t="s">
        <v>36</v>
      </c>
      <c r="B34" s="17">
        <f>AU12</f>
        <v>3.8063186095232175E-2</v>
      </c>
      <c r="C34" s="17">
        <f>AT12</f>
        <v>9.2541757332714927E-2</v>
      </c>
      <c r="D34" s="17">
        <f>BF12</f>
        <v>1.5896572980440865E-2</v>
      </c>
      <c r="E34" s="17">
        <f>BE12</f>
        <v>4.499915027763339E-2</v>
      </c>
      <c r="F34" s="3"/>
      <c r="G34" s="11" t="s">
        <v>35</v>
      </c>
      <c r="H34" s="13">
        <f t="shared" ref="H34:M34" si="27">BB31</f>
        <v>6.5269333064652921E-2</v>
      </c>
      <c r="I34" s="13">
        <f t="shared" si="27"/>
        <v>7.6654238609753109E-2</v>
      </c>
      <c r="J34" s="13">
        <f t="shared" si="27"/>
        <v>0.47887981462122386</v>
      </c>
      <c r="K34" s="13">
        <f t="shared" si="27"/>
        <v>-1.5056512225084218E-2</v>
      </c>
      <c r="L34" s="13">
        <f t="shared" si="27"/>
        <v>0.18305506003838828</v>
      </c>
      <c r="M34" s="13">
        <f t="shared" si="27"/>
        <v>0.21119806589105947</v>
      </c>
      <c r="N34" s="3"/>
      <c r="O34" s="3"/>
      <c r="P34" s="3"/>
      <c r="Q34" s="3"/>
      <c r="S34" s="18">
        <v>22.22</v>
      </c>
      <c r="T34" s="18">
        <v>5.56</v>
      </c>
      <c r="U34" s="18">
        <v>186</v>
      </c>
      <c r="V34" s="18">
        <v>125</v>
      </c>
      <c r="W34" s="18">
        <v>7.27</v>
      </c>
      <c r="X34" s="18">
        <v>28.93</v>
      </c>
      <c r="AC34" s="22" t="s">
        <v>1</v>
      </c>
      <c r="AE34" s="29">
        <v>7.6212225885253976E-2</v>
      </c>
      <c r="AK34" s="25"/>
      <c r="AL34" s="26">
        <f t="shared" si="16"/>
        <v>-0.11755361397934873</v>
      </c>
      <c r="AM34" s="26">
        <f t="shared" si="19"/>
        <v>-6.5546218487395058E-2</v>
      </c>
      <c r="AN34" s="26">
        <f t="shared" si="20"/>
        <v>-3.3766233766233764E-2</v>
      </c>
      <c r="AO34" s="26">
        <f t="shared" si="21"/>
        <v>-7.9365079365079361E-3</v>
      </c>
      <c r="AP34" s="26">
        <f t="shared" si="22"/>
        <v>-5.4719562243502103E-3</v>
      </c>
      <c r="AQ34" s="26">
        <f t="shared" si="23"/>
        <v>-0.10322380657160565</v>
      </c>
      <c r="AS34" s="30"/>
      <c r="AT34" s="30"/>
      <c r="AU34" s="30"/>
      <c r="AV34" s="30"/>
      <c r="AW34" s="30"/>
      <c r="AX34" s="30"/>
      <c r="AY34" s="30"/>
      <c r="AZ34" s="22" t="s">
        <v>0</v>
      </c>
      <c r="BA34" s="22" t="s">
        <v>1</v>
      </c>
      <c r="BB34" s="22" t="s">
        <v>2</v>
      </c>
      <c r="BC34" s="22" t="s">
        <v>3</v>
      </c>
      <c r="BD34" s="22" t="s">
        <v>4</v>
      </c>
      <c r="BE34" s="22" t="s">
        <v>5</v>
      </c>
      <c r="BF34" s="30"/>
      <c r="BG34" s="30"/>
      <c r="BH34" s="30"/>
      <c r="BI34" s="30"/>
      <c r="BJ34" s="30"/>
      <c r="BK34" s="30"/>
      <c r="BL34" s="30"/>
      <c r="BQ34" s="32"/>
      <c r="BR34" s="30"/>
      <c r="BS34" s="30"/>
      <c r="CB34" s="18">
        <v>33</v>
      </c>
      <c r="CC34" s="19">
        <v>0.10003812335668265</v>
      </c>
      <c r="CD34" s="19">
        <v>0.21310949453660344</v>
      </c>
      <c r="CE34" s="19">
        <v>0.19736518827575192</v>
      </c>
      <c r="CF34" s="19">
        <v>0.21911518829308174</v>
      </c>
      <c r="CG34" s="19">
        <v>0.1091695210660602</v>
      </c>
      <c r="CH34" s="19">
        <v>0.16120248447182006</v>
      </c>
      <c r="CI34" s="20">
        <v>4.8057160405944287E-3</v>
      </c>
      <c r="CJ34" s="20">
        <v>3.8709213499382715E-2</v>
      </c>
      <c r="CN34" s="18">
        <v>33</v>
      </c>
      <c r="CO34" s="19">
        <v>0.39543863270936475</v>
      </c>
      <c r="CP34" s="19">
        <v>0.40629737145676581</v>
      </c>
      <c r="CQ34" s="19">
        <v>-0.23347323850856053</v>
      </c>
      <c r="CR34" s="19">
        <v>-6.8458354539803853E-2</v>
      </c>
      <c r="CS34" s="19">
        <v>7.6908642649754833E-2</v>
      </c>
      <c r="CT34" s="19">
        <v>0.42328694623247903</v>
      </c>
      <c r="CU34" s="20">
        <v>-3.7582041962328839E-3</v>
      </c>
      <c r="CV34" s="20">
        <v>5.7765858096183717E-2</v>
      </c>
      <c r="DA34" s="18">
        <f t="shared" si="6"/>
        <v>33</v>
      </c>
      <c r="DB34" s="19">
        <f t="shared" si="7"/>
        <v>0.39543863270936475</v>
      </c>
      <c r="DC34" s="19">
        <f t="shared" si="8"/>
        <v>0.40629737145676581</v>
      </c>
      <c r="DD34" s="19">
        <f t="shared" si="9"/>
        <v>-0.23347323850856053</v>
      </c>
      <c r="DE34" s="19">
        <f t="shared" si="10"/>
        <v>-6.8458354539803853E-2</v>
      </c>
      <c r="DF34" s="19">
        <f t="shared" si="11"/>
        <v>7.6908642649754833E-2</v>
      </c>
      <c r="DG34" s="19">
        <f t="shared" si="12"/>
        <v>0.42328694623247903</v>
      </c>
      <c r="DH34" s="20">
        <f t="shared" si="13"/>
        <v>-3.7582041962328839E-3</v>
      </c>
      <c r="DI34" s="20">
        <f t="shared" si="14"/>
        <v>5.7765858096183717E-2</v>
      </c>
      <c r="DJ34" s="2"/>
    </row>
    <row r="35" spans="1:114" x14ac:dyDescent="0.3">
      <c r="S35" s="18">
        <v>23.02</v>
      </c>
      <c r="T35" s="18">
        <v>5.73</v>
      </c>
      <c r="U35" s="18">
        <v>185</v>
      </c>
      <c r="V35" s="18">
        <v>139</v>
      </c>
      <c r="W35" s="18">
        <v>8.0399999999999991</v>
      </c>
      <c r="X35" s="18">
        <v>29.61</v>
      </c>
      <c r="AC35" s="22" t="s">
        <v>2</v>
      </c>
      <c r="AE35" s="29">
        <v>0.47389546335022248</v>
      </c>
      <c r="AK35" s="25"/>
      <c r="AL35" s="26">
        <f t="shared" si="16"/>
        <v>3.6003600360036039E-2</v>
      </c>
      <c r="AM35" s="26">
        <f t="shared" si="19"/>
        <v>3.0575539568345474E-2</v>
      </c>
      <c r="AN35" s="26">
        <f t="shared" si="20"/>
        <v>-5.3763440860215058E-3</v>
      </c>
      <c r="AO35" s="26">
        <f t="shared" si="21"/>
        <v>0.112</v>
      </c>
      <c r="AP35" s="26">
        <f t="shared" si="22"/>
        <v>0.10591471801925717</v>
      </c>
      <c r="AQ35" s="26">
        <f t="shared" si="23"/>
        <v>2.3505012098167983E-2</v>
      </c>
      <c r="AS35" s="30"/>
      <c r="AT35" s="30"/>
      <c r="AU35" s="30"/>
      <c r="AV35" s="30"/>
      <c r="AW35" s="30"/>
      <c r="AX35" s="30"/>
      <c r="AY35" s="30"/>
      <c r="AZ35" s="20">
        <f t="shared" ref="AZ35:BE35" si="28">IF($BZ$2=1,_xlfn.XLOOKUP($BV$3,$AU$3:$AU$21,AV3:AV21),_xlfn.XLOOKUP($BV$3,$BF$3:$BF$21,BG3:BG21))</f>
        <v>0.25193131006501185</v>
      </c>
      <c r="BA35" s="20">
        <f t="shared" si="28"/>
        <v>-0.61921543782937016</v>
      </c>
      <c r="BB35" s="20">
        <f t="shared" si="28"/>
        <v>0.53288347089042043</v>
      </c>
      <c r="BC35" s="20">
        <f t="shared" si="28"/>
        <v>0.23820351959946259</v>
      </c>
      <c r="BD35" s="20">
        <f t="shared" si="28"/>
        <v>1.0054218086276219</v>
      </c>
      <c r="BE35" s="20">
        <f t="shared" si="28"/>
        <v>-0.40922467135315321</v>
      </c>
      <c r="BF35" s="30"/>
      <c r="BG35" s="30"/>
      <c r="BH35" s="30"/>
      <c r="BI35" s="30"/>
      <c r="BJ35" s="30"/>
      <c r="BK35" s="30"/>
      <c r="BL35" s="30"/>
      <c r="BQ35" s="32"/>
      <c r="BR35" s="30"/>
      <c r="BS35" s="30"/>
      <c r="CB35" s="18">
        <v>34</v>
      </c>
      <c r="CC35" s="19">
        <v>0.11999517776394146</v>
      </c>
      <c r="CD35" s="19">
        <v>0.33274881677994494</v>
      </c>
      <c r="CE35" s="19">
        <v>0.17756559966327601</v>
      </c>
      <c r="CF35" s="19">
        <v>0.19952960752340654</v>
      </c>
      <c r="CG35" s="19">
        <v>0.15919249665619598</v>
      </c>
      <c r="CH35" s="19">
        <v>1.0968301613235079E-2</v>
      </c>
      <c r="CI35" s="20">
        <v>4.5440739120055718E-3</v>
      </c>
      <c r="CJ35" s="20">
        <v>4.1025482858352898E-2</v>
      </c>
      <c r="CN35" s="18">
        <v>34</v>
      </c>
      <c r="CO35" s="19">
        <v>-8.618698261144965E-2</v>
      </c>
      <c r="CP35" s="19">
        <v>0.39924455200368331</v>
      </c>
      <c r="CQ35" s="19">
        <v>0.39384169390547746</v>
      </c>
      <c r="CR35" s="19">
        <v>0.18225146784509061</v>
      </c>
      <c r="CS35" s="19">
        <v>-9.9023336599448383E-2</v>
      </c>
      <c r="CT35" s="19">
        <v>0.20987260545664663</v>
      </c>
      <c r="CU35" s="20">
        <v>-5.9186463957280769E-4</v>
      </c>
      <c r="CV35" s="20">
        <v>4.248579251128811E-2</v>
      </c>
      <c r="DA35" s="18">
        <f t="shared" si="6"/>
        <v>34</v>
      </c>
      <c r="DB35" s="19">
        <f t="shared" si="7"/>
        <v>-8.618698261144965E-2</v>
      </c>
      <c r="DC35" s="19">
        <f t="shared" si="8"/>
        <v>0.39924455200368331</v>
      </c>
      <c r="DD35" s="19">
        <f t="shared" si="9"/>
        <v>0.39384169390547746</v>
      </c>
      <c r="DE35" s="19">
        <f t="shared" si="10"/>
        <v>0.18225146784509061</v>
      </c>
      <c r="DF35" s="19">
        <f t="shared" si="11"/>
        <v>-9.9023336599448383E-2</v>
      </c>
      <c r="DG35" s="19">
        <f t="shared" si="12"/>
        <v>0.20987260545664663</v>
      </c>
      <c r="DH35" s="20">
        <f t="shared" si="13"/>
        <v>-5.9186463957280769E-4</v>
      </c>
      <c r="DI35" s="20">
        <f t="shared" si="14"/>
        <v>4.248579251128811E-2</v>
      </c>
      <c r="DJ35" s="2"/>
    </row>
    <row r="36" spans="1:114" x14ac:dyDescent="0.3">
      <c r="S36" s="18">
        <v>18.09</v>
      </c>
      <c r="T36" s="18">
        <v>5.81</v>
      </c>
      <c r="U36" s="18">
        <v>187.5</v>
      </c>
      <c r="V36" s="18">
        <v>116</v>
      </c>
      <c r="W36" s="18">
        <v>8.33</v>
      </c>
      <c r="X36" s="18">
        <v>30.11</v>
      </c>
      <c r="AC36" s="22" t="s">
        <v>3</v>
      </c>
      <c r="AE36" s="29">
        <v>0</v>
      </c>
      <c r="AK36" s="25"/>
      <c r="AL36" s="26">
        <f t="shared" si="16"/>
        <v>-0.21416159860990441</v>
      </c>
      <c r="AM36" s="26">
        <f t="shared" si="19"/>
        <v>1.396160558464209E-2</v>
      </c>
      <c r="AN36" s="26">
        <f t="shared" si="20"/>
        <v>1.3513513513513514E-2</v>
      </c>
      <c r="AO36" s="26">
        <f t="shared" si="21"/>
        <v>-0.16546762589928057</v>
      </c>
      <c r="AP36" s="26">
        <f t="shared" si="22"/>
        <v>3.6069651741293653E-2</v>
      </c>
      <c r="AQ36" s="26">
        <f t="shared" si="23"/>
        <v>1.6886187098953058E-2</v>
      </c>
      <c r="AS36" s="30"/>
      <c r="AT36" s="30"/>
      <c r="AU36" s="30"/>
      <c r="AV36" s="30"/>
      <c r="AW36" s="30"/>
      <c r="AX36" s="30"/>
      <c r="AY36" s="30"/>
      <c r="AZ36" s="30"/>
      <c r="BA36" s="30"/>
      <c r="BD36" s="30"/>
      <c r="BE36" s="30"/>
      <c r="BF36" s="30"/>
      <c r="BG36" s="30"/>
      <c r="BH36" s="30"/>
      <c r="BI36" s="30"/>
      <c r="BJ36" s="30"/>
      <c r="BK36" s="30"/>
      <c r="BL36" s="30"/>
      <c r="BQ36" s="32"/>
      <c r="BR36" s="30"/>
      <c r="BS36" s="30"/>
      <c r="CB36" s="18">
        <v>35</v>
      </c>
      <c r="CC36" s="19">
        <v>0.19920612655548478</v>
      </c>
      <c r="CD36" s="19">
        <v>7.2611067550124336E-2</v>
      </c>
      <c r="CE36" s="19">
        <v>0.34498670145678101</v>
      </c>
      <c r="CF36" s="19">
        <v>8.0808118908763493E-2</v>
      </c>
      <c r="CG36" s="19">
        <v>0.10441771271971907</v>
      </c>
      <c r="CH36" s="19">
        <v>0.19797027280912727</v>
      </c>
      <c r="CI36" s="20">
        <v>4.9503339258019693E-3</v>
      </c>
      <c r="CJ36" s="20">
        <v>3.3453203815267715E-2</v>
      </c>
      <c r="CN36" s="18">
        <v>35</v>
      </c>
      <c r="CO36" s="19">
        <v>-4.218786312502934E-2</v>
      </c>
      <c r="CP36" s="19">
        <v>0.11135906978708007</v>
      </c>
      <c r="CQ36" s="19">
        <v>-0.10911497102393097</v>
      </c>
      <c r="CR36" s="19">
        <v>0.67243613742795627</v>
      </c>
      <c r="CS36" s="19">
        <v>-7.1135873129720986E-2</v>
      </c>
      <c r="CT36" s="19">
        <v>0.438643500063645</v>
      </c>
      <c r="CU36" s="20">
        <v>6.0836565405166807E-3</v>
      </c>
      <c r="CV36" s="20">
        <v>7.0620649746739983E-2</v>
      </c>
      <c r="DA36" s="18">
        <f t="shared" si="6"/>
        <v>35</v>
      </c>
      <c r="DB36" s="19">
        <f t="shared" si="7"/>
        <v>-4.218786312502934E-2</v>
      </c>
      <c r="DC36" s="19">
        <f t="shared" si="8"/>
        <v>0.11135906978708007</v>
      </c>
      <c r="DD36" s="19">
        <f t="shared" si="9"/>
        <v>-0.10911497102393097</v>
      </c>
      <c r="DE36" s="19">
        <f t="shared" si="10"/>
        <v>0.67243613742795627</v>
      </c>
      <c r="DF36" s="19">
        <f t="shared" si="11"/>
        <v>-7.1135873129720986E-2</v>
      </c>
      <c r="DG36" s="19">
        <f t="shared" si="12"/>
        <v>0.438643500063645</v>
      </c>
      <c r="DH36" s="20">
        <f t="shared" si="13"/>
        <v>6.0836565405166807E-3</v>
      </c>
      <c r="DI36" s="20">
        <f t="shared" si="14"/>
        <v>7.0620649746739983E-2</v>
      </c>
      <c r="DJ36" s="2"/>
    </row>
    <row r="37" spans="1:114" x14ac:dyDescent="0.3">
      <c r="S37" s="18">
        <v>17.86</v>
      </c>
      <c r="T37" s="18">
        <v>5.83</v>
      </c>
      <c r="U37" s="18">
        <v>190</v>
      </c>
      <c r="V37" s="18">
        <v>110</v>
      </c>
      <c r="W37" s="18">
        <v>7.44</v>
      </c>
      <c r="X37" s="18">
        <v>28.72</v>
      </c>
      <c r="AC37" s="22" t="s">
        <v>4</v>
      </c>
      <c r="AE37" s="29">
        <v>0.180621777960221</v>
      </c>
      <c r="AK37" s="25"/>
      <c r="AL37" s="26">
        <f t="shared" si="16"/>
        <v>-1.2714206744057514E-2</v>
      </c>
      <c r="AM37" s="26">
        <f t="shared" si="19"/>
        <v>3.442340791738462E-3</v>
      </c>
      <c r="AN37" s="26">
        <f t="shared" si="20"/>
        <v>1.3333333333333334E-2</v>
      </c>
      <c r="AO37" s="26">
        <f t="shared" si="21"/>
        <v>-5.1724137931034482E-2</v>
      </c>
      <c r="AP37" s="26">
        <f t="shared" si="22"/>
        <v>-0.10684273709483789</v>
      </c>
      <c r="AQ37" s="26">
        <f t="shared" si="23"/>
        <v>-4.6164065094652956E-2</v>
      </c>
      <c r="AS37" s="30"/>
      <c r="AT37" s="30"/>
      <c r="AU37" s="30"/>
      <c r="AV37" s="30"/>
      <c r="AW37" s="30"/>
      <c r="AX37" s="30"/>
      <c r="AY37" s="30"/>
      <c r="AZ37" s="30"/>
      <c r="BA37" s="30"/>
      <c r="BD37" s="30"/>
      <c r="BE37" s="30"/>
      <c r="BF37" s="30"/>
      <c r="BG37" s="30"/>
      <c r="BH37" s="30"/>
      <c r="BI37" s="30"/>
      <c r="BJ37" s="30"/>
      <c r="BK37" s="30"/>
      <c r="BL37" s="30"/>
      <c r="BQ37" s="32"/>
      <c r="BR37" s="30"/>
      <c r="BS37" s="30"/>
      <c r="CB37" s="18">
        <v>36</v>
      </c>
      <c r="CC37" s="19">
        <v>3.6624428238967457E-2</v>
      </c>
      <c r="CD37" s="19">
        <v>0.23579149440154187</v>
      </c>
      <c r="CE37" s="19">
        <v>0.26913412970333206</v>
      </c>
      <c r="CF37" s="19">
        <v>0.1684280228274371</v>
      </c>
      <c r="CG37" s="19">
        <v>0.16126331465562926</v>
      </c>
      <c r="CH37" s="19">
        <v>0.1287586101730922</v>
      </c>
      <c r="CI37" s="20">
        <v>5.3490767106477563E-3</v>
      </c>
      <c r="CJ37" s="20">
        <v>3.6013115044400051E-2</v>
      </c>
      <c r="CN37" s="18">
        <v>36</v>
      </c>
      <c r="CO37" s="19">
        <v>0.23818851665112742</v>
      </c>
      <c r="CP37" s="19">
        <v>0.22293696427396095</v>
      </c>
      <c r="CQ37" s="19">
        <v>0.25357805810975825</v>
      </c>
      <c r="CR37" s="19">
        <v>0.17482022986826906</v>
      </c>
      <c r="CS37" s="19">
        <v>-4.6680721280619682E-2</v>
      </c>
      <c r="CT37" s="19">
        <v>0.15715695237750402</v>
      </c>
      <c r="CU37" s="20">
        <v>1.4297356597717625E-3</v>
      </c>
      <c r="CV37" s="20">
        <v>4.144090349656307E-2</v>
      </c>
      <c r="DA37" s="18">
        <f t="shared" si="6"/>
        <v>36</v>
      </c>
      <c r="DB37" s="19">
        <f t="shared" si="7"/>
        <v>0.23818851665112742</v>
      </c>
      <c r="DC37" s="19">
        <f t="shared" si="8"/>
        <v>0.22293696427396095</v>
      </c>
      <c r="DD37" s="19">
        <f t="shared" si="9"/>
        <v>0.25357805810975825</v>
      </c>
      <c r="DE37" s="19">
        <f t="shared" si="10"/>
        <v>0.17482022986826906</v>
      </c>
      <c r="DF37" s="19">
        <f t="shared" si="11"/>
        <v>-4.6680721280619682E-2</v>
      </c>
      <c r="DG37" s="19">
        <f t="shared" si="12"/>
        <v>0.15715695237750402</v>
      </c>
      <c r="DH37" s="20">
        <f t="shared" si="13"/>
        <v>1.4297356597717625E-3</v>
      </c>
      <c r="DI37" s="20">
        <f t="shared" si="14"/>
        <v>4.144090349656307E-2</v>
      </c>
      <c r="DJ37" s="2"/>
    </row>
    <row r="38" spans="1:114" x14ac:dyDescent="0.3">
      <c r="S38" s="18">
        <v>15.35</v>
      </c>
      <c r="T38" s="18">
        <v>5.37</v>
      </c>
      <c r="U38" s="18">
        <v>178</v>
      </c>
      <c r="V38" s="18">
        <v>107</v>
      </c>
      <c r="W38" s="18">
        <v>8.0500000000000007</v>
      </c>
      <c r="X38" s="18">
        <v>27.95</v>
      </c>
      <c r="AC38" s="22" t="s">
        <v>5</v>
      </c>
      <c r="AE38" s="29">
        <v>0.20546547740659563</v>
      </c>
      <c r="AK38" s="25"/>
      <c r="AL38" s="26">
        <f t="shared" si="16"/>
        <v>-0.14053751399776035</v>
      </c>
      <c r="AM38" s="26">
        <f t="shared" si="19"/>
        <v>-7.890222984562606E-2</v>
      </c>
      <c r="AN38" s="26">
        <f t="shared" si="20"/>
        <v>-6.3157894736842107E-2</v>
      </c>
      <c r="AO38" s="26">
        <f t="shared" si="21"/>
        <v>-2.7272727272727271E-2</v>
      </c>
      <c r="AP38" s="26">
        <f t="shared" si="22"/>
        <v>8.1989247311827995E-2</v>
      </c>
      <c r="AQ38" s="26">
        <f t="shared" si="23"/>
        <v>-2.6810584958217257E-2</v>
      </c>
      <c r="AS38" s="30"/>
      <c r="AT38" s="30"/>
      <c r="AU38" s="30"/>
      <c r="AV38" s="30"/>
      <c r="AW38" s="30"/>
      <c r="AX38" s="30"/>
      <c r="AY38" s="30"/>
      <c r="AZ38" s="30"/>
      <c r="BA38" s="30"/>
      <c r="BD38" s="30"/>
      <c r="BE38" s="30"/>
      <c r="BF38" s="30"/>
      <c r="BG38" s="30"/>
      <c r="BH38" s="30"/>
      <c r="BI38" s="30"/>
      <c r="BJ38" s="30"/>
      <c r="BK38" s="30"/>
      <c r="BL38" s="30"/>
      <c r="BQ38" s="32"/>
      <c r="BR38" s="30"/>
      <c r="BS38" s="30"/>
      <c r="CB38" s="18">
        <v>37</v>
      </c>
      <c r="CC38" s="19">
        <v>0.29875776629508921</v>
      </c>
      <c r="CD38" s="19">
        <v>9.0838747800455449E-2</v>
      </c>
      <c r="CE38" s="19">
        <v>1.8728039015111199E-2</v>
      </c>
      <c r="CF38" s="19">
        <v>0.37772021216449869</v>
      </c>
      <c r="CG38" s="19">
        <v>1.8415053413236557E-2</v>
      </c>
      <c r="CH38" s="19">
        <v>0.19554018131160888</v>
      </c>
      <c r="CI38" s="20">
        <v>5.3166173470482608E-3</v>
      </c>
      <c r="CJ38" s="20">
        <v>5.2113041725265187E-2</v>
      </c>
      <c r="CN38" s="18">
        <v>37</v>
      </c>
      <c r="CO38" s="19">
        <v>-0.92877897852266411</v>
      </c>
      <c r="CP38" s="19">
        <v>0.45840011102940753</v>
      </c>
      <c r="CQ38" s="19">
        <v>0.61772561416534355</v>
      </c>
      <c r="CR38" s="19">
        <v>-0.36930308347531549</v>
      </c>
      <c r="CS38" s="19">
        <v>0.9166017128797167</v>
      </c>
      <c r="CT38" s="19">
        <v>0.30535462392351187</v>
      </c>
      <c r="CU38" s="20">
        <v>1.2342056084626001E-2</v>
      </c>
      <c r="CV38" s="20">
        <v>9.6229830457062016E-2</v>
      </c>
      <c r="DA38" s="18">
        <f t="shared" si="6"/>
        <v>37</v>
      </c>
      <c r="DB38" s="19">
        <f t="shared" si="7"/>
        <v>-0.92877897852266411</v>
      </c>
      <c r="DC38" s="19">
        <f t="shared" si="8"/>
        <v>0.45840011102940753</v>
      </c>
      <c r="DD38" s="19">
        <f t="shared" si="9"/>
        <v>0.61772561416534355</v>
      </c>
      <c r="DE38" s="19">
        <f t="shared" si="10"/>
        <v>-0.36930308347531549</v>
      </c>
      <c r="DF38" s="19">
        <f t="shared" si="11"/>
        <v>0.9166017128797167</v>
      </c>
      <c r="DG38" s="19">
        <f t="shared" si="12"/>
        <v>0.30535462392351187</v>
      </c>
      <c r="DH38" s="20">
        <f t="shared" si="13"/>
        <v>1.2342056084626001E-2</v>
      </c>
      <c r="DI38" s="20">
        <f t="shared" si="14"/>
        <v>9.6229830457062016E-2</v>
      </c>
      <c r="DJ38" s="2"/>
    </row>
    <row r="39" spans="1:114" x14ac:dyDescent="0.3">
      <c r="S39" s="18">
        <v>15.57</v>
      </c>
      <c r="T39" s="18">
        <v>5.32</v>
      </c>
      <c r="U39" s="18">
        <v>166</v>
      </c>
      <c r="V39" s="18">
        <v>100</v>
      </c>
      <c r="W39" s="18">
        <v>8.09</v>
      </c>
      <c r="X39" s="18">
        <v>25.35</v>
      </c>
      <c r="AD39" s="1" t="s">
        <v>11</v>
      </c>
      <c r="AE39" s="29">
        <f>SUM(AE33:AE38)</f>
        <v>0.99999999999999956</v>
      </c>
      <c r="AK39" s="25"/>
      <c r="AL39" s="26">
        <f t="shared" si="16"/>
        <v>1.4332247557003299E-2</v>
      </c>
      <c r="AM39" s="26">
        <f t="shared" si="19"/>
        <v>-9.3109869646182154E-3</v>
      </c>
      <c r="AN39" s="26">
        <f t="shared" si="20"/>
        <v>-6.741573033707865E-2</v>
      </c>
      <c r="AO39" s="26">
        <f t="shared" si="21"/>
        <v>-6.5420560747663545E-2</v>
      </c>
      <c r="AP39" s="26">
        <f t="shared" si="22"/>
        <v>4.9689440993787755E-3</v>
      </c>
      <c r="AQ39" s="26">
        <f t="shared" si="23"/>
        <v>-9.3023255813953418E-2</v>
      </c>
      <c r="AS39" s="30"/>
      <c r="AT39" s="30"/>
      <c r="AU39" s="30"/>
      <c r="AV39" s="30"/>
      <c r="AW39" s="30"/>
      <c r="AX39" s="30"/>
      <c r="AY39" s="30"/>
      <c r="AZ39" s="30"/>
      <c r="BA39" s="30"/>
      <c r="BD39" s="30"/>
      <c r="BE39" s="30"/>
      <c r="BF39" s="30"/>
      <c r="BG39" s="30"/>
      <c r="BH39" s="30"/>
      <c r="BI39" s="30"/>
      <c r="BJ39" s="30"/>
      <c r="BK39" s="30"/>
      <c r="BL39" s="30"/>
      <c r="BQ39" s="32"/>
      <c r="BR39" s="30"/>
      <c r="BS39" s="30"/>
      <c r="CB39" s="18">
        <v>38</v>
      </c>
      <c r="CC39" s="19">
        <v>0.19128602351833796</v>
      </c>
      <c r="CD39" s="19">
        <v>0.1954993954348912</v>
      </c>
      <c r="CE39" s="19">
        <v>0.2129247162654189</v>
      </c>
      <c r="CF39" s="19">
        <v>5.4274300545038179E-2</v>
      </c>
      <c r="CG39" s="19">
        <v>0.12133245042198133</v>
      </c>
      <c r="CH39" s="19">
        <v>0.2246831138143324</v>
      </c>
      <c r="CI39" s="20">
        <v>3.1000918791248234E-3</v>
      </c>
      <c r="CJ39" s="20">
        <v>3.5394817582724308E-2</v>
      </c>
      <c r="CN39" s="18">
        <v>38</v>
      </c>
      <c r="CO39" s="19">
        <v>-0.22953825777371659</v>
      </c>
      <c r="CP39" s="19">
        <v>0.46446179693886652</v>
      </c>
      <c r="CQ39" s="19">
        <v>0.46523466546630576</v>
      </c>
      <c r="CR39" s="19">
        <v>0.24965465346506513</v>
      </c>
      <c r="CS39" s="19">
        <v>0.1205480921828864</v>
      </c>
      <c r="CT39" s="19">
        <v>-7.0360950279407211E-2</v>
      </c>
      <c r="CU39" s="20">
        <v>4.6742316236157164E-3</v>
      </c>
      <c r="CV39" s="20">
        <v>4.8315790931903975E-2</v>
      </c>
      <c r="DA39" s="18">
        <f t="shared" si="6"/>
        <v>38</v>
      </c>
      <c r="DB39" s="19">
        <f t="shared" si="7"/>
        <v>-0.22953825777371659</v>
      </c>
      <c r="DC39" s="19">
        <f t="shared" si="8"/>
        <v>0.46446179693886652</v>
      </c>
      <c r="DD39" s="19">
        <f t="shared" si="9"/>
        <v>0.46523466546630576</v>
      </c>
      <c r="DE39" s="19">
        <f t="shared" si="10"/>
        <v>0.24965465346506513</v>
      </c>
      <c r="DF39" s="19">
        <f t="shared" si="11"/>
        <v>0.1205480921828864</v>
      </c>
      <c r="DG39" s="19">
        <f t="shared" si="12"/>
        <v>-7.0360950279407211E-2</v>
      </c>
      <c r="DH39" s="20">
        <f t="shared" si="13"/>
        <v>4.6742316236157164E-3</v>
      </c>
      <c r="DI39" s="20">
        <f t="shared" si="14"/>
        <v>4.8315790931903975E-2</v>
      </c>
      <c r="DJ39" s="2"/>
    </row>
    <row r="40" spans="1:114" x14ac:dyDescent="0.3">
      <c r="S40" s="18">
        <v>16.86</v>
      </c>
      <c r="T40" s="18">
        <v>5.79</v>
      </c>
      <c r="U40" s="18">
        <v>168.5</v>
      </c>
      <c r="V40" s="18">
        <v>100</v>
      </c>
      <c r="W40" s="18">
        <v>7.43</v>
      </c>
      <c r="X40" s="18">
        <v>25.96</v>
      </c>
      <c r="AK40" s="25"/>
      <c r="AL40" s="26">
        <f t="shared" si="16"/>
        <v>8.2851637764932512E-2</v>
      </c>
      <c r="AM40" s="26">
        <f t="shared" si="19"/>
        <v>8.8345864661654089E-2</v>
      </c>
      <c r="AN40" s="26">
        <f t="shared" si="20"/>
        <v>1.5060240963855422E-2</v>
      </c>
      <c r="AO40" s="26">
        <f t="shared" si="21"/>
        <v>0</v>
      </c>
      <c r="AP40" s="26">
        <f t="shared" si="22"/>
        <v>-8.1582200247218808E-2</v>
      </c>
      <c r="AQ40" s="26">
        <f t="shared" si="23"/>
        <v>2.4063116370808654E-2</v>
      </c>
      <c r="AS40" s="30"/>
      <c r="AT40" s="30"/>
      <c r="AU40" s="30"/>
      <c r="AV40" s="30"/>
      <c r="AW40" s="30"/>
      <c r="AX40" s="30"/>
      <c r="AY40" s="30"/>
      <c r="AZ40" s="30"/>
      <c r="BA40" s="30"/>
      <c r="BD40" s="30"/>
      <c r="BE40" s="30"/>
      <c r="BF40" s="30"/>
      <c r="BG40" s="30"/>
      <c r="BH40" s="30"/>
      <c r="BI40" s="30"/>
      <c r="BJ40" s="30"/>
      <c r="BK40" s="30"/>
      <c r="BL40" s="30"/>
      <c r="BQ40" s="32"/>
      <c r="BR40" s="30"/>
      <c r="BS40" s="30"/>
      <c r="CB40" s="18">
        <v>39</v>
      </c>
      <c r="CC40" s="19">
        <v>0.2666543623405806</v>
      </c>
      <c r="CD40" s="19">
        <v>0.13211396297776792</v>
      </c>
      <c r="CE40" s="19">
        <v>0.14888499991682205</v>
      </c>
      <c r="CF40" s="19">
        <v>0.11230586556588039</v>
      </c>
      <c r="CG40" s="19">
        <v>8.0243400011101904E-2</v>
      </c>
      <c r="CH40" s="19">
        <v>0.25979740918784711</v>
      </c>
      <c r="CI40" s="20">
        <v>3.2809025684839774E-3</v>
      </c>
      <c r="CJ40" s="20">
        <v>3.9083799940007505E-2</v>
      </c>
      <c r="CN40" s="18">
        <v>39</v>
      </c>
      <c r="CO40" s="19">
        <v>0.37881141283881664</v>
      </c>
      <c r="CP40" s="19">
        <v>0.40961133463302096</v>
      </c>
      <c r="CQ40" s="19">
        <v>-0.61704623589223218</v>
      </c>
      <c r="CR40" s="19">
        <v>0.38148471815995189</v>
      </c>
      <c r="CS40" s="19">
        <v>0.24883739345385961</v>
      </c>
      <c r="CT40" s="19">
        <v>0.19830137680658314</v>
      </c>
      <c r="CU40" s="20">
        <v>3.7456252892281165E-3</v>
      </c>
      <c r="CV40" s="20">
        <v>7.2008825922960859E-2</v>
      </c>
      <c r="DA40" s="18">
        <f t="shared" si="6"/>
        <v>39</v>
      </c>
      <c r="DB40" s="19">
        <f t="shared" si="7"/>
        <v>0.37881141283881664</v>
      </c>
      <c r="DC40" s="19">
        <f t="shared" si="8"/>
        <v>0.40961133463302096</v>
      </c>
      <c r="DD40" s="19">
        <f t="shared" si="9"/>
        <v>-0.61704623589223218</v>
      </c>
      <c r="DE40" s="19">
        <f t="shared" si="10"/>
        <v>0.38148471815995189</v>
      </c>
      <c r="DF40" s="19">
        <f t="shared" si="11"/>
        <v>0.24883739345385961</v>
      </c>
      <c r="DG40" s="19">
        <f t="shared" si="12"/>
        <v>0.19830137680658314</v>
      </c>
      <c r="DH40" s="20">
        <f t="shared" si="13"/>
        <v>3.7456252892281165E-3</v>
      </c>
      <c r="DI40" s="20">
        <f t="shared" si="14"/>
        <v>7.2008825922960859E-2</v>
      </c>
      <c r="DJ40" s="2"/>
    </row>
    <row r="41" spans="1:114" x14ac:dyDescent="0.3">
      <c r="S41" s="18">
        <v>20.68</v>
      </c>
      <c r="T41" s="18">
        <v>5.88</v>
      </c>
      <c r="U41" s="18">
        <v>171</v>
      </c>
      <c r="V41" s="18">
        <v>101.5</v>
      </c>
      <c r="W41" s="18">
        <v>7.46</v>
      </c>
      <c r="X41" s="18">
        <v>28.34</v>
      </c>
      <c r="AK41" s="25"/>
      <c r="AL41" s="26">
        <f t="shared" si="16"/>
        <v>0.22657176749703442</v>
      </c>
      <c r="AM41" s="26">
        <f t="shared" si="19"/>
        <v>1.5544041450777177E-2</v>
      </c>
      <c r="AN41" s="26">
        <f t="shared" si="20"/>
        <v>1.483679525222552E-2</v>
      </c>
      <c r="AO41" s="26">
        <f t="shared" si="21"/>
        <v>1.4999999999999999E-2</v>
      </c>
      <c r="AP41" s="26">
        <f t="shared" si="22"/>
        <v>4.0376850605653098E-3</v>
      </c>
      <c r="AQ41" s="26">
        <f t="shared" si="23"/>
        <v>9.1679506933744187E-2</v>
      </c>
      <c r="AS41" s="30"/>
      <c r="AT41" s="30"/>
      <c r="AU41" s="30"/>
      <c r="AV41" s="30"/>
      <c r="AW41" s="30"/>
      <c r="AX41" s="30"/>
      <c r="AY41" s="30"/>
      <c r="AZ41" s="30"/>
      <c r="BA41" s="30"/>
      <c r="BD41" s="30"/>
      <c r="BE41" s="30"/>
      <c r="BF41" s="30"/>
      <c r="BG41" s="30"/>
      <c r="BH41" s="30"/>
      <c r="BI41" s="30"/>
      <c r="BJ41" s="30"/>
      <c r="BK41" s="30"/>
      <c r="BL41" s="30"/>
      <c r="BQ41" s="32"/>
      <c r="BR41" s="30"/>
      <c r="BS41" s="30"/>
      <c r="CB41" s="18">
        <v>40</v>
      </c>
      <c r="CC41" s="19">
        <v>0.19675676418714216</v>
      </c>
      <c r="CD41" s="19">
        <v>0.19456596688028813</v>
      </c>
      <c r="CE41" s="19">
        <v>0.22653274206806345</v>
      </c>
      <c r="CF41" s="19">
        <v>3.1856870121319811E-2</v>
      </c>
      <c r="CG41" s="19">
        <v>0.25703162424024434</v>
      </c>
      <c r="CH41" s="19">
        <v>9.3256032502942135E-2</v>
      </c>
      <c r="CI41" s="20">
        <v>5.7265877858232025E-3</v>
      </c>
      <c r="CJ41" s="20">
        <v>3.4810212570914621E-2</v>
      </c>
      <c r="CN41" s="18">
        <v>40</v>
      </c>
      <c r="CO41" s="19">
        <v>0.3445077843763974</v>
      </c>
      <c r="CP41" s="19">
        <v>-9.1218403081935254E-2</v>
      </c>
      <c r="CQ41" s="19">
        <v>0.22658460842660663</v>
      </c>
      <c r="CR41" s="19">
        <v>0.16019555890748993</v>
      </c>
      <c r="CS41" s="19">
        <v>-9.4462903138018001E-2</v>
      </c>
      <c r="CT41" s="19">
        <v>0.45439335450945934</v>
      </c>
      <c r="CU41" s="20">
        <v>2.6866764873028368E-3</v>
      </c>
      <c r="CV41" s="20">
        <v>4.8390047007326777E-2</v>
      </c>
      <c r="DA41" s="18">
        <f t="shared" si="6"/>
        <v>40</v>
      </c>
      <c r="DB41" s="19">
        <f t="shared" si="7"/>
        <v>0.3445077843763974</v>
      </c>
      <c r="DC41" s="19">
        <f t="shared" si="8"/>
        <v>-9.1218403081935254E-2</v>
      </c>
      <c r="DD41" s="19">
        <f t="shared" si="9"/>
        <v>0.22658460842660663</v>
      </c>
      <c r="DE41" s="19">
        <f t="shared" si="10"/>
        <v>0.16019555890748993</v>
      </c>
      <c r="DF41" s="19">
        <f t="shared" si="11"/>
        <v>-9.4462903138018001E-2</v>
      </c>
      <c r="DG41" s="19">
        <f t="shared" si="12"/>
        <v>0.45439335450945934</v>
      </c>
      <c r="DH41" s="20">
        <f t="shared" si="13"/>
        <v>2.6866764873028368E-3</v>
      </c>
      <c r="DI41" s="20">
        <f t="shared" si="14"/>
        <v>4.8390047007326777E-2</v>
      </c>
      <c r="DJ41" s="2"/>
    </row>
    <row r="42" spans="1:114" x14ac:dyDescent="0.3">
      <c r="S42" s="18">
        <v>19.079999999999998</v>
      </c>
      <c r="T42" s="18">
        <v>5.64</v>
      </c>
      <c r="U42" s="18">
        <v>163.5</v>
      </c>
      <c r="V42" s="18">
        <v>103.5</v>
      </c>
      <c r="W42" s="18">
        <v>8.1199999999999992</v>
      </c>
      <c r="X42" s="18">
        <v>27.4</v>
      </c>
      <c r="AC42" s="18" t="s">
        <v>15</v>
      </c>
      <c r="AD42" s="20" cm="1">
        <f t="array" ref="AD42">MMULT($AL$75:$AQ$75,AE33:AE38)</f>
        <v>5.962655024140456E-3</v>
      </c>
      <c r="AK42" s="25"/>
      <c r="AL42" s="26">
        <f t="shared" si="16"/>
        <v>-7.7369439071566806E-2</v>
      </c>
      <c r="AM42" s="26">
        <f t="shared" si="19"/>
        <v>-4.0816326530612283E-2</v>
      </c>
      <c r="AN42" s="26">
        <f t="shared" si="20"/>
        <v>-4.3859649122807015E-2</v>
      </c>
      <c r="AO42" s="26">
        <f t="shared" si="21"/>
        <v>1.9704433497536946E-2</v>
      </c>
      <c r="AP42" s="26">
        <f t="shared" si="22"/>
        <v>8.8471849865951649E-2</v>
      </c>
      <c r="AQ42" s="26">
        <f t="shared" si="23"/>
        <v>-3.3168666196189175E-2</v>
      </c>
      <c r="AS42" s="30"/>
      <c r="AT42" s="30"/>
      <c r="AU42" s="30"/>
      <c r="AV42" s="30"/>
      <c r="AW42" s="30"/>
      <c r="AX42" s="30"/>
      <c r="AY42" s="30"/>
      <c r="AZ42" s="30"/>
      <c r="BA42" s="30"/>
      <c r="BD42" s="30"/>
      <c r="BE42" s="30"/>
      <c r="BF42" s="30"/>
      <c r="BG42" s="30"/>
      <c r="BH42" s="30"/>
      <c r="BI42" s="30"/>
      <c r="BJ42" s="30"/>
      <c r="BK42" s="30"/>
      <c r="BL42" s="30"/>
      <c r="BQ42" s="32"/>
      <c r="BR42" s="30"/>
      <c r="BS42" s="30"/>
      <c r="CB42" s="18"/>
      <c r="CC42" s="19"/>
      <c r="CD42" s="19"/>
      <c r="CE42" s="19"/>
      <c r="CF42" s="19"/>
      <c r="CG42" s="19"/>
      <c r="CH42" s="19"/>
      <c r="CI42" s="20"/>
      <c r="CJ42" s="20"/>
      <c r="CN42" s="18"/>
      <c r="CO42" s="19"/>
      <c r="CP42" s="19"/>
      <c r="CQ42" s="19"/>
      <c r="CR42" s="19"/>
      <c r="CS42" s="19"/>
      <c r="CT42" s="19"/>
      <c r="CU42" s="20"/>
      <c r="CV42" s="20"/>
      <c r="DA42" s="18">
        <f t="shared" si="6"/>
        <v>0</v>
      </c>
      <c r="DB42" s="19">
        <f t="shared" si="7"/>
        <v>0</v>
      </c>
      <c r="DC42" s="19">
        <f t="shared" si="8"/>
        <v>0</v>
      </c>
      <c r="DD42" s="19">
        <f t="shared" si="9"/>
        <v>0</v>
      </c>
      <c r="DE42" s="19">
        <f t="shared" si="10"/>
        <v>0</v>
      </c>
      <c r="DF42" s="19">
        <f t="shared" si="11"/>
        <v>0</v>
      </c>
      <c r="DG42" s="19">
        <f t="shared" si="12"/>
        <v>0</v>
      </c>
      <c r="DH42" s="20">
        <f t="shared" si="13"/>
        <v>0</v>
      </c>
      <c r="DI42" s="20">
        <f t="shared" si="14"/>
        <v>0</v>
      </c>
      <c r="DJ42" s="2"/>
    </row>
    <row r="43" spans="1:114" x14ac:dyDescent="0.3">
      <c r="S43" s="18">
        <v>18.649999999999999</v>
      </c>
      <c r="T43" s="18">
        <v>5.16</v>
      </c>
      <c r="U43" s="18">
        <v>162</v>
      </c>
      <c r="V43" s="18">
        <v>101.5</v>
      </c>
      <c r="W43" s="18">
        <v>8.3000000000000007</v>
      </c>
      <c r="X43" s="18">
        <v>26.84</v>
      </c>
      <c r="AC43" s="18" t="s">
        <v>12</v>
      </c>
      <c r="AD43" s="20" cm="1">
        <f t="array" ref="AD43">SQRT(MMULT(TRANSPOSE(AE33:AE38),MMULT($AD$9:$AI$14,AE33:AE38)))</f>
        <v>3.0180660424391138E-2</v>
      </c>
      <c r="AK43" s="25"/>
      <c r="AL43" s="26">
        <f t="shared" si="16"/>
        <v>-2.2536687631027241E-2</v>
      </c>
      <c r="AM43" s="26">
        <f t="shared" si="19"/>
        <v>-8.5106382978723333E-2</v>
      </c>
      <c r="AN43" s="26">
        <f t="shared" si="20"/>
        <v>-9.1743119266055051E-3</v>
      </c>
      <c r="AO43" s="26">
        <f t="shared" si="21"/>
        <v>-1.932367149758454E-2</v>
      </c>
      <c r="AP43" s="26">
        <f t="shared" si="22"/>
        <v>2.2167487684729249E-2</v>
      </c>
      <c r="AQ43" s="26">
        <f t="shared" si="23"/>
        <v>-2.0437956204379517E-2</v>
      </c>
      <c r="AS43" s="30"/>
      <c r="AT43" s="30"/>
      <c r="AU43" s="30"/>
      <c r="AV43" s="30"/>
      <c r="AW43" s="30"/>
      <c r="AX43" s="30"/>
      <c r="AY43" s="30"/>
      <c r="AZ43" s="30"/>
      <c r="BA43" s="30"/>
      <c r="BD43" s="30"/>
      <c r="BE43" s="30"/>
      <c r="BF43" s="30"/>
      <c r="BG43" s="30"/>
      <c r="BH43" s="30"/>
      <c r="BI43" s="30"/>
      <c r="BJ43" s="30"/>
      <c r="BK43" s="30"/>
      <c r="BL43" s="30"/>
      <c r="BQ43" s="32"/>
      <c r="BR43" s="30"/>
      <c r="BS43" s="30"/>
      <c r="CB43" s="18"/>
      <c r="CC43" s="19"/>
      <c r="CD43" s="19"/>
      <c r="CE43" s="19"/>
      <c r="CF43" s="19"/>
      <c r="CG43" s="19"/>
      <c r="CH43" s="19"/>
      <c r="CI43" s="20"/>
      <c r="CJ43" s="20"/>
      <c r="CN43" s="18"/>
      <c r="CO43" s="19"/>
      <c r="CP43" s="19"/>
      <c r="CQ43" s="19"/>
      <c r="CR43" s="19"/>
      <c r="CS43" s="19"/>
      <c r="CT43" s="19"/>
      <c r="CU43" s="20"/>
      <c r="CV43" s="20"/>
      <c r="DA43" s="18">
        <f t="shared" si="6"/>
        <v>0</v>
      </c>
      <c r="DB43" s="19">
        <f t="shared" si="7"/>
        <v>0</v>
      </c>
      <c r="DC43" s="19">
        <f t="shared" si="8"/>
        <v>0</v>
      </c>
      <c r="DD43" s="19">
        <f t="shared" si="9"/>
        <v>0</v>
      </c>
      <c r="DE43" s="19">
        <f t="shared" si="10"/>
        <v>0</v>
      </c>
      <c r="DF43" s="19">
        <f t="shared" si="11"/>
        <v>0</v>
      </c>
      <c r="DG43" s="19">
        <f t="shared" si="12"/>
        <v>0</v>
      </c>
      <c r="DH43" s="20">
        <f t="shared" si="13"/>
        <v>0</v>
      </c>
      <c r="DI43" s="20">
        <f t="shared" si="14"/>
        <v>0</v>
      </c>
      <c r="DJ43" s="2"/>
    </row>
    <row r="44" spans="1:114" x14ac:dyDescent="0.3">
      <c r="S44" s="18">
        <v>19.52</v>
      </c>
      <c r="T44" s="18">
        <v>5.81</v>
      </c>
      <c r="U44" s="18">
        <v>161</v>
      </c>
      <c r="V44" s="18">
        <v>105.5</v>
      </c>
      <c r="W44" s="18">
        <v>9.1999999999999993</v>
      </c>
      <c r="X44" s="18">
        <v>26.53</v>
      </c>
      <c r="AC44" s="18" t="s">
        <v>14</v>
      </c>
      <c r="AD44" s="34">
        <f>AD43^2</f>
        <v>9.1087226365240944E-4</v>
      </c>
      <c r="AK44" s="25"/>
      <c r="AL44" s="26">
        <f t="shared" si="16"/>
        <v>4.6648793565683702E-2</v>
      </c>
      <c r="AM44" s="26">
        <f t="shared" si="19"/>
        <v>0.12596899224806191</v>
      </c>
      <c r="AN44" s="26">
        <f t="shared" si="20"/>
        <v>-6.1728395061728392E-3</v>
      </c>
      <c r="AO44" s="26">
        <f t="shared" si="21"/>
        <v>3.9408866995073892E-2</v>
      </c>
      <c r="AP44" s="26">
        <f t="shared" si="22"/>
        <v>0.10843373493975886</v>
      </c>
      <c r="AQ44" s="26">
        <f t="shared" si="23"/>
        <v>-1.1549925484351665E-2</v>
      </c>
      <c r="AS44" s="30"/>
      <c r="AT44" s="30"/>
      <c r="AU44" s="30"/>
      <c r="AV44" s="30"/>
      <c r="AW44" s="30"/>
      <c r="AX44" s="30"/>
      <c r="AY44" s="30"/>
      <c r="AZ44" s="30"/>
      <c r="BA44" s="30"/>
      <c r="BD44" s="30"/>
      <c r="BE44" s="30"/>
      <c r="BF44" s="30"/>
      <c r="BG44" s="30"/>
      <c r="BH44" s="30"/>
      <c r="BI44" s="30"/>
      <c r="BJ44" s="30"/>
      <c r="BK44" s="30"/>
      <c r="BL44" s="30"/>
      <c r="BQ44" s="32"/>
      <c r="BR44" s="30"/>
      <c r="BS44" s="30"/>
      <c r="CB44" s="18"/>
      <c r="CC44" s="19"/>
      <c r="CD44" s="19"/>
      <c r="CE44" s="19"/>
      <c r="CF44" s="19"/>
      <c r="CG44" s="19"/>
      <c r="CH44" s="19"/>
      <c r="CI44" s="20"/>
      <c r="CJ44" s="20"/>
      <c r="CN44" s="18"/>
      <c r="CO44" s="19"/>
      <c r="CP44" s="19"/>
      <c r="CQ44" s="19"/>
      <c r="CR44" s="19"/>
      <c r="CS44" s="19"/>
      <c r="CT44" s="19"/>
      <c r="CU44" s="20"/>
      <c r="CV44" s="20"/>
      <c r="DA44" s="18">
        <f t="shared" si="6"/>
        <v>0</v>
      </c>
      <c r="DB44" s="19">
        <f t="shared" si="7"/>
        <v>0</v>
      </c>
      <c r="DC44" s="19">
        <f t="shared" si="8"/>
        <v>0</v>
      </c>
      <c r="DD44" s="19">
        <f t="shared" si="9"/>
        <v>0</v>
      </c>
      <c r="DE44" s="19">
        <f t="shared" si="10"/>
        <v>0</v>
      </c>
      <c r="DF44" s="19">
        <f t="shared" si="11"/>
        <v>0</v>
      </c>
      <c r="DG44" s="19">
        <f t="shared" si="12"/>
        <v>0</v>
      </c>
      <c r="DH44" s="20">
        <f t="shared" si="13"/>
        <v>0</v>
      </c>
      <c r="DI44" s="20">
        <f t="shared" si="14"/>
        <v>0</v>
      </c>
      <c r="DJ44" s="2"/>
    </row>
    <row r="45" spans="1:114" x14ac:dyDescent="0.3">
      <c r="S45" s="18">
        <v>20.43</v>
      </c>
      <c r="T45" s="18">
        <v>5.26</v>
      </c>
      <c r="U45" s="18">
        <v>150</v>
      </c>
      <c r="V45" s="18">
        <v>110.5</v>
      </c>
      <c r="W45" s="18">
        <v>8.9700000000000006</v>
      </c>
      <c r="X45" s="18">
        <v>28.63</v>
      </c>
      <c r="AC45" s="18" t="s">
        <v>13</v>
      </c>
      <c r="AD45" s="27">
        <f>(AD42-AH32)/AD43</f>
        <v>5.6746770947276468E-2</v>
      </c>
      <c r="AK45" s="25"/>
      <c r="AL45" s="26">
        <f t="shared" si="16"/>
        <v>4.6618852459016404E-2</v>
      </c>
      <c r="AM45" s="26">
        <f t="shared" si="19"/>
        <v>-9.4664371772805483E-2</v>
      </c>
      <c r="AN45" s="26">
        <f t="shared" si="20"/>
        <v>-6.8322981366459631E-2</v>
      </c>
      <c r="AO45" s="26">
        <f t="shared" si="21"/>
        <v>4.7393364928909949E-2</v>
      </c>
      <c r="AP45" s="26">
        <f t="shared" si="22"/>
        <v>-2.4999999999999856E-2</v>
      </c>
      <c r="AQ45" s="26">
        <f t="shared" si="23"/>
        <v>7.915567282321892E-2</v>
      </c>
      <c r="AS45" s="30"/>
      <c r="AT45" s="30"/>
      <c r="AU45" s="30"/>
      <c r="AV45" s="30"/>
      <c r="AW45" s="30"/>
      <c r="AX45" s="30"/>
      <c r="AY45" s="30"/>
      <c r="AZ45" s="30"/>
      <c r="BA45" s="30"/>
      <c r="BD45" s="30"/>
      <c r="BE45" s="30"/>
      <c r="BF45" s="30"/>
      <c r="BG45" s="30"/>
      <c r="BH45" s="30"/>
      <c r="BI45" s="30"/>
      <c r="BJ45" s="30"/>
      <c r="BK45" s="30"/>
      <c r="BL45" s="30"/>
      <c r="BQ45" s="32"/>
      <c r="BR45" s="30"/>
      <c r="BS45" s="30"/>
      <c r="CB45" s="18"/>
      <c r="CC45" s="19"/>
      <c r="CD45" s="19"/>
      <c r="CE45" s="19"/>
      <c r="CF45" s="19"/>
      <c r="CG45" s="19"/>
      <c r="CH45" s="19"/>
      <c r="CI45" s="20"/>
      <c r="CJ45" s="20"/>
      <c r="CN45" s="18"/>
      <c r="CO45" s="19"/>
      <c r="CP45" s="19"/>
      <c r="CQ45" s="19"/>
      <c r="CR45" s="19"/>
      <c r="CS45" s="19"/>
      <c r="CT45" s="19"/>
      <c r="CU45" s="20"/>
      <c r="CV45" s="20"/>
      <c r="DA45" s="18">
        <f t="shared" si="6"/>
        <v>0</v>
      </c>
      <c r="DB45" s="19">
        <f t="shared" si="7"/>
        <v>0</v>
      </c>
      <c r="DC45" s="19">
        <f t="shared" si="8"/>
        <v>0</v>
      </c>
      <c r="DD45" s="19">
        <f t="shared" si="9"/>
        <v>0</v>
      </c>
      <c r="DE45" s="19">
        <f t="shared" si="10"/>
        <v>0</v>
      </c>
      <c r="DF45" s="19">
        <f t="shared" si="11"/>
        <v>0</v>
      </c>
      <c r="DG45" s="19">
        <f t="shared" si="12"/>
        <v>0</v>
      </c>
      <c r="DH45" s="20">
        <f t="shared" si="13"/>
        <v>0</v>
      </c>
      <c r="DI45" s="20">
        <f t="shared" si="14"/>
        <v>0</v>
      </c>
      <c r="DJ45" s="2"/>
    </row>
    <row r="46" spans="1:114" x14ac:dyDescent="0.3">
      <c r="S46" s="18">
        <v>22.38</v>
      </c>
      <c r="T46" s="18">
        <v>5.28</v>
      </c>
      <c r="U46" s="18">
        <v>150.5</v>
      </c>
      <c r="V46" s="18">
        <v>112</v>
      </c>
      <c r="W46" s="18">
        <v>8.48</v>
      </c>
      <c r="X46" s="18">
        <v>28.62</v>
      </c>
      <c r="AK46" s="25"/>
      <c r="AL46" s="26">
        <f t="shared" si="16"/>
        <v>9.5447870778267219E-2</v>
      </c>
      <c r="AM46" s="26">
        <f t="shared" si="19"/>
        <v>3.8022813688213808E-3</v>
      </c>
      <c r="AN46" s="26">
        <f t="shared" si="20"/>
        <v>3.3333333333333335E-3</v>
      </c>
      <c r="AO46" s="26">
        <f t="shared" si="21"/>
        <v>1.3574660633484163E-2</v>
      </c>
      <c r="AP46" s="26">
        <f t="shared" si="22"/>
        <v>-5.4626532887402469E-2</v>
      </c>
      <c r="AQ46" s="26">
        <f t="shared" si="23"/>
        <v>-3.492839678658055E-4</v>
      </c>
      <c r="AS46" s="30"/>
      <c r="AT46" s="30"/>
      <c r="AU46" s="30"/>
      <c r="AV46" s="30"/>
      <c r="AW46" s="30"/>
      <c r="AX46" s="30"/>
      <c r="AY46" s="30"/>
      <c r="AZ46" s="30"/>
      <c r="BA46" s="30"/>
      <c r="BD46" s="30"/>
      <c r="BE46" s="30"/>
      <c r="BF46" s="30"/>
      <c r="BG46" s="30"/>
      <c r="BH46" s="30"/>
      <c r="BI46" s="30"/>
      <c r="BJ46" s="30"/>
      <c r="BK46" s="30"/>
      <c r="BL46" s="30"/>
      <c r="BQ46" s="32"/>
      <c r="BR46" s="30"/>
      <c r="BS46" s="30"/>
      <c r="CB46" s="18"/>
      <c r="CC46" s="19"/>
      <c r="CD46" s="19"/>
      <c r="CE46" s="19"/>
      <c r="CF46" s="19"/>
      <c r="CG46" s="19"/>
      <c r="CH46" s="19"/>
      <c r="CI46" s="20"/>
      <c r="CJ46" s="20"/>
      <c r="CN46" s="18"/>
      <c r="CO46" s="19"/>
      <c r="CP46" s="19"/>
      <c r="CQ46" s="19"/>
      <c r="CR46" s="19"/>
      <c r="CS46" s="19"/>
      <c r="CT46" s="19"/>
      <c r="CU46" s="20"/>
      <c r="CV46" s="20"/>
      <c r="DA46" s="18">
        <f t="shared" si="6"/>
        <v>0</v>
      </c>
      <c r="DB46" s="19">
        <f t="shared" si="7"/>
        <v>0</v>
      </c>
      <c r="DC46" s="19">
        <f t="shared" si="8"/>
        <v>0</v>
      </c>
      <c r="DD46" s="19">
        <f t="shared" si="9"/>
        <v>0</v>
      </c>
      <c r="DE46" s="19">
        <f t="shared" si="10"/>
        <v>0</v>
      </c>
      <c r="DF46" s="19">
        <f t="shared" si="11"/>
        <v>0</v>
      </c>
      <c r="DG46" s="19">
        <f t="shared" si="12"/>
        <v>0</v>
      </c>
      <c r="DH46" s="20">
        <f t="shared" si="13"/>
        <v>0</v>
      </c>
      <c r="DI46" s="20">
        <f t="shared" si="14"/>
        <v>0</v>
      </c>
      <c r="DJ46" s="2"/>
    </row>
    <row r="47" spans="1:114" x14ac:dyDescent="0.3">
      <c r="S47" s="18">
        <v>23.07</v>
      </c>
      <c r="T47" s="18">
        <v>4.57</v>
      </c>
      <c r="U47" s="18">
        <v>154</v>
      </c>
      <c r="V47" s="18">
        <v>124</v>
      </c>
      <c r="W47" s="18">
        <v>7.84</v>
      </c>
      <c r="X47" s="18">
        <v>28.37</v>
      </c>
      <c r="AC47" s="23"/>
      <c r="AD47" s="23"/>
      <c r="AK47" s="25"/>
      <c r="AL47" s="26">
        <f t="shared" si="16"/>
        <v>3.0831099195710514E-2</v>
      </c>
      <c r="AM47" s="26">
        <f t="shared" si="19"/>
        <v>-0.13446969696969696</v>
      </c>
      <c r="AN47" s="26">
        <f t="shared" si="20"/>
        <v>2.3255813953488372E-2</v>
      </c>
      <c r="AO47" s="26">
        <f t="shared" si="21"/>
        <v>0.10714285714285714</v>
      </c>
      <c r="AP47" s="26">
        <f t="shared" si="22"/>
        <v>-7.5471698113207614E-2</v>
      </c>
      <c r="AQ47" s="26">
        <f t="shared" si="23"/>
        <v>-8.7351502445842059E-3</v>
      </c>
      <c r="AS47" s="30"/>
      <c r="AT47" s="30"/>
      <c r="AU47" s="30"/>
      <c r="AV47" s="30"/>
      <c r="AW47" s="30"/>
      <c r="AX47" s="30"/>
      <c r="AY47" s="30"/>
      <c r="AZ47" s="30"/>
      <c r="BA47" s="30"/>
      <c r="BD47" s="30"/>
      <c r="BE47" s="30"/>
      <c r="BF47" s="30"/>
      <c r="BG47" s="30"/>
      <c r="BH47" s="30"/>
      <c r="BI47" s="30"/>
      <c r="BJ47" s="30"/>
      <c r="BK47" s="30"/>
      <c r="BL47" s="30"/>
      <c r="BQ47" s="32"/>
      <c r="BR47" s="30"/>
      <c r="BS47" s="30"/>
      <c r="CB47" s="18"/>
      <c r="CC47" s="19"/>
      <c r="CD47" s="19"/>
      <c r="CE47" s="19"/>
      <c r="CF47" s="19"/>
      <c r="CG47" s="19"/>
      <c r="CH47" s="19"/>
      <c r="CI47" s="20"/>
      <c r="CJ47" s="20"/>
      <c r="CN47" s="18"/>
      <c r="CO47" s="19"/>
      <c r="CP47" s="19"/>
      <c r="CQ47" s="19"/>
      <c r="CR47" s="19"/>
      <c r="CS47" s="19"/>
      <c r="CT47" s="19"/>
      <c r="CU47" s="20"/>
      <c r="CV47" s="20"/>
      <c r="DA47" s="18">
        <f t="shared" si="6"/>
        <v>0</v>
      </c>
      <c r="DB47" s="19">
        <f t="shared" si="7"/>
        <v>0</v>
      </c>
      <c r="DC47" s="19">
        <f t="shared" si="8"/>
        <v>0</v>
      </c>
      <c r="DD47" s="19">
        <f t="shared" si="9"/>
        <v>0</v>
      </c>
      <c r="DE47" s="19">
        <f t="shared" si="10"/>
        <v>0</v>
      </c>
      <c r="DF47" s="19">
        <f t="shared" si="11"/>
        <v>0</v>
      </c>
      <c r="DG47" s="19">
        <f t="shared" si="12"/>
        <v>0</v>
      </c>
      <c r="DH47" s="20">
        <f t="shared" si="13"/>
        <v>0</v>
      </c>
      <c r="DI47" s="20">
        <f t="shared" si="14"/>
        <v>0</v>
      </c>
      <c r="DJ47" s="2"/>
    </row>
    <row r="48" spans="1:114" x14ac:dyDescent="0.3">
      <c r="S48" s="18">
        <v>24.41</v>
      </c>
      <c r="T48" s="18">
        <v>4.7</v>
      </c>
      <c r="U48" s="18">
        <v>157</v>
      </c>
      <c r="V48" s="18">
        <v>123.5</v>
      </c>
      <c r="W48" s="18">
        <v>8.3000000000000007</v>
      </c>
      <c r="X48" s="18">
        <v>29.62</v>
      </c>
      <c r="AC48" s="23"/>
      <c r="AD48" s="23"/>
      <c r="AK48" s="25"/>
      <c r="AL48" s="26">
        <f t="shared" si="16"/>
        <v>5.8084091894234934E-2</v>
      </c>
      <c r="AM48" s="26">
        <f t="shared" si="19"/>
        <v>2.8446389496717701E-2</v>
      </c>
      <c r="AN48" s="26">
        <f t="shared" si="20"/>
        <v>1.948051948051948E-2</v>
      </c>
      <c r="AO48" s="26">
        <f t="shared" si="21"/>
        <v>-4.0322580645161289E-3</v>
      </c>
      <c r="AP48" s="26">
        <f t="shared" si="22"/>
        <v>5.8673469387755209E-2</v>
      </c>
      <c r="AQ48" s="26">
        <f t="shared" si="23"/>
        <v>4.4060627423334504E-2</v>
      </c>
      <c r="AS48" s="30"/>
      <c r="AT48" s="30"/>
      <c r="AU48" s="30"/>
      <c r="AV48" s="30"/>
      <c r="AW48" s="30"/>
      <c r="AX48" s="30"/>
      <c r="AY48" s="30"/>
      <c r="AZ48" s="30"/>
      <c r="BA48" s="30"/>
      <c r="BD48" s="30"/>
      <c r="BE48" s="30"/>
      <c r="BF48" s="30"/>
      <c r="BG48" s="30"/>
      <c r="BH48" s="30"/>
      <c r="BI48" s="30"/>
      <c r="BJ48" s="30"/>
      <c r="BK48" s="30"/>
      <c r="BL48" s="30"/>
      <c r="BQ48" s="32"/>
      <c r="BR48" s="30"/>
      <c r="BS48" s="30"/>
      <c r="CB48" s="18"/>
      <c r="CC48" s="19"/>
      <c r="CD48" s="19"/>
      <c r="CE48" s="19"/>
      <c r="CF48" s="19"/>
      <c r="CG48" s="19"/>
      <c r="CH48" s="19"/>
      <c r="CI48" s="20"/>
      <c r="CJ48" s="20"/>
      <c r="CN48" s="18"/>
      <c r="CO48" s="19"/>
      <c r="CP48" s="19"/>
      <c r="CQ48" s="19"/>
      <c r="CR48" s="19"/>
      <c r="CS48" s="19"/>
      <c r="CT48" s="19"/>
      <c r="CU48" s="20"/>
      <c r="CV48" s="20"/>
      <c r="DA48" s="18">
        <f t="shared" si="6"/>
        <v>0</v>
      </c>
      <c r="DB48" s="19">
        <f t="shared" si="7"/>
        <v>0</v>
      </c>
      <c r="DC48" s="19">
        <f t="shared" si="8"/>
        <v>0</v>
      </c>
      <c r="DD48" s="19">
        <f t="shared" si="9"/>
        <v>0</v>
      </c>
      <c r="DE48" s="19">
        <f t="shared" si="10"/>
        <v>0</v>
      </c>
      <c r="DF48" s="19">
        <f t="shared" si="11"/>
        <v>0</v>
      </c>
      <c r="DG48" s="19">
        <f t="shared" si="12"/>
        <v>0</v>
      </c>
      <c r="DH48" s="20">
        <f t="shared" si="13"/>
        <v>0</v>
      </c>
      <c r="DI48" s="20">
        <f t="shared" si="14"/>
        <v>0</v>
      </c>
      <c r="DJ48" s="2"/>
    </row>
    <row r="49" spans="19:114" x14ac:dyDescent="0.3">
      <c r="S49" s="18">
        <v>25.06</v>
      </c>
      <c r="T49" s="18">
        <v>5.04</v>
      </c>
      <c r="U49" s="18">
        <v>159.5</v>
      </c>
      <c r="V49" s="18">
        <v>130</v>
      </c>
      <c r="W49" s="18">
        <v>8.58</v>
      </c>
      <c r="X49" s="18">
        <v>31.16</v>
      </c>
      <c r="AC49" s="21"/>
      <c r="AD49" s="21"/>
      <c r="AE49" s="21"/>
      <c r="AF49" s="21"/>
      <c r="AG49" s="21"/>
      <c r="AH49" s="21"/>
      <c r="AK49" s="25"/>
      <c r="AL49" s="26">
        <f t="shared" si="16"/>
        <v>2.66284309709135E-2</v>
      </c>
      <c r="AM49" s="26">
        <f t="shared" si="19"/>
        <v>7.2340425531914859E-2</v>
      </c>
      <c r="AN49" s="26">
        <f t="shared" si="20"/>
        <v>1.5923566878980892E-2</v>
      </c>
      <c r="AO49" s="26">
        <f t="shared" si="21"/>
        <v>5.2631578947368418E-2</v>
      </c>
      <c r="AP49" s="26">
        <f t="shared" si="22"/>
        <v>3.3734939759036062E-2</v>
      </c>
      <c r="AQ49" s="26">
        <f t="shared" si="23"/>
        <v>5.1991897366644127E-2</v>
      </c>
      <c r="AS49" s="30"/>
      <c r="AT49" s="30"/>
      <c r="AU49" s="30"/>
      <c r="AV49" s="30"/>
      <c r="AW49" s="30"/>
      <c r="AX49" s="30"/>
      <c r="AY49" s="30"/>
      <c r="AZ49" s="30"/>
      <c r="BA49" s="30"/>
      <c r="BD49" s="30"/>
      <c r="BE49" s="30"/>
      <c r="BF49" s="30"/>
      <c r="BG49" s="30"/>
      <c r="BH49" s="30"/>
      <c r="BI49" s="30"/>
      <c r="BJ49" s="30"/>
      <c r="BK49" s="30"/>
      <c r="BL49" s="30"/>
      <c r="BQ49" s="32"/>
      <c r="BR49" s="30"/>
      <c r="BS49" s="30"/>
      <c r="CB49" s="18"/>
      <c r="CC49" s="19"/>
      <c r="CD49" s="19"/>
      <c r="CE49" s="19"/>
      <c r="CF49" s="19"/>
      <c r="CG49" s="19"/>
      <c r="CH49" s="19"/>
      <c r="CI49" s="20"/>
      <c r="CJ49" s="20"/>
      <c r="CN49" s="18"/>
      <c r="CO49" s="19"/>
      <c r="CP49" s="19"/>
      <c r="CQ49" s="19"/>
      <c r="CR49" s="19"/>
      <c r="CS49" s="19"/>
      <c r="CT49" s="19"/>
      <c r="CU49" s="20"/>
      <c r="CV49" s="20"/>
      <c r="DA49" s="18">
        <f t="shared" si="6"/>
        <v>0</v>
      </c>
      <c r="DB49" s="19">
        <f t="shared" si="7"/>
        <v>0</v>
      </c>
      <c r="DC49" s="19">
        <f t="shared" si="8"/>
        <v>0</v>
      </c>
      <c r="DD49" s="19">
        <f t="shared" si="9"/>
        <v>0</v>
      </c>
      <c r="DE49" s="19">
        <f t="shared" si="10"/>
        <v>0</v>
      </c>
      <c r="DF49" s="19">
        <f t="shared" si="11"/>
        <v>0</v>
      </c>
      <c r="DG49" s="19">
        <f t="shared" si="12"/>
        <v>0</v>
      </c>
      <c r="DH49" s="20">
        <f t="shared" si="13"/>
        <v>0</v>
      </c>
      <c r="DI49" s="20">
        <f t="shared" si="14"/>
        <v>0</v>
      </c>
      <c r="DJ49" s="2"/>
    </row>
    <row r="50" spans="19:114" x14ac:dyDescent="0.3">
      <c r="S50" s="18">
        <v>26.64</v>
      </c>
      <c r="T50" s="18">
        <v>5</v>
      </c>
      <c r="U50" s="18">
        <v>160</v>
      </c>
      <c r="V50" s="18">
        <v>132</v>
      </c>
      <c r="W50" s="18">
        <v>8.93</v>
      </c>
      <c r="X50" s="18">
        <v>31.56</v>
      </c>
      <c r="AC50" s="35"/>
      <c r="AD50" s="35"/>
      <c r="AE50" s="35"/>
      <c r="AF50" s="21"/>
      <c r="AG50" s="21"/>
      <c r="AH50" s="21"/>
      <c r="AK50" s="25"/>
      <c r="AL50" s="26">
        <f t="shared" si="16"/>
        <v>6.3048683160415078E-2</v>
      </c>
      <c r="AM50" s="26">
        <f t="shared" si="19"/>
        <v>-7.936507936507943E-3</v>
      </c>
      <c r="AN50" s="26">
        <f t="shared" si="20"/>
        <v>3.134796238244514E-3</v>
      </c>
      <c r="AO50" s="26">
        <f t="shared" si="21"/>
        <v>1.5384615384615385E-2</v>
      </c>
      <c r="AP50" s="26">
        <f t="shared" si="22"/>
        <v>4.079254079254075E-2</v>
      </c>
      <c r="AQ50" s="26">
        <f t="shared" si="23"/>
        <v>1.2836970474967862E-2</v>
      </c>
      <c r="AS50" s="30"/>
      <c r="AT50" s="30"/>
      <c r="AU50" s="30"/>
      <c r="AV50" s="30"/>
      <c r="AW50" s="30"/>
      <c r="AX50" s="30"/>
      <c r="AY50" s="30"/>
      <c r="AZ50" s="30"/>
      <c r="BA50" s="30"/>
      <c r="BD50" s="30"/>
      <c r="BE50" s="30"/>
      <c r="BF50" s="30"/>
      <c r="BG50" s="30"/>
      <c r="BH50" s="30"/>
      <c r="BI50" s="30"/>
      <c r="BJ50" s="30"/>
      <c r="BK50" s="30"/>
      <c r="BL50" s="30"/>
      <c r="BQ50" s="32"/>
      <c r="BR50" s="30"/>
      <c r="BS50" s="30"/>
      <c r="CB50" s="18"/>
      <c r="CC50" s="19"/>
      <c r="CD50" s="19"/>
      <c r="CE50" s="19"/>
      <c r="CF50" s="19"/>
      <c r="CG50" s="19"/>
      <c r="CH50" s="19"/>
      <c r="CI50" s="20"/>
      <c r="CJ50" s="20"/>
      <c r="CN50" s="18"/>
      <c r="CO50" s="19"/>
      <c r="CP50" s="19"/>
      <c r="CQ50" s="19"/>
      <c r="CR50" s="19"/>
      <c r="CS50" s="19"/>
      <c r="CT50" s="19"/>
      <c r="CU50" s="20"/>
      <c r="CV50" s="20"/>
      <c r="DA50" s="18">
        <f t="shared" si="6"/>
        <v>0</v>
      </c>
      <c r="DB50" s="19">
        <f t="shared" si="7"/>
        <v>0</v>
      </c>
      <c r="DC50" s="19">
        <f t="shared" si="8"/>
        <v>0</v>
      </c>
      <c r="DD50" s="19">
        <f t="shared" si="9"/>
        <v>0</v>
      </c>
      <c r="DE50" s="19">
        <f t="shared" si="10"/>
        <v>0</v>
      </c>
      <c r="DF50" s="19">
        <f t="shared" si="11"/>
        <v>0</v>
      </c>
      <c r="DG50" s="19">
        <f t="shared" si="12"/>
        <v>0</v>
      </c>
      <c r="DH50" s="20">
        <f t="shared" si="13"/>
        <v>0</v>
      </c>
      <c r="DI50" s="20">
        <f t="shared" si="14"/>
        <v>0</v>
      </c>
      <c r="DJ50" s="2"/>
    </row>
    <row r="51" spans="19:114" x14ac:dyDescent="0.3">
      <c r="S51" s="18">
        <v>25</v>
      </c>
      <c r="T51" s="18">
        <v>4.88</v>
      </c>
      <c r="U51" s="18">
        <v>158</v>
      </c>
      <c r="V51" s="18">
        <v>145</v>
      </c>
      <c r="W51" s="18">
        <v>9.36</v>
      </c>
      <c r="X51" s="18">
        <v>31.34</v>
      </c>
      <c r="AC51" s="21"/>
      <c r="AD51" s="21"/>
      <c r="AE51" s="21"/>
      <c r="AF51" s="21"/>
      <c r="AG51" s="21"/>
      <c r="AH51" s="21"/>
      <c r="AK51" s="25"/>
      <c r="AL51" s="26">
        <f t="shared" si="16"/>
        <v>-6.1561561561561583E-2</v>
      </c>
      <c r="AM51" s="26">
        <f t="shared" si="19"/>
        <v>-2.4000000000000021E-2</v>
      </c>
      <c r="AN51" s="26">
        <f t="shared" si="20"/>
        <v>-1.2500000000000001E-2</v>
      </c>
      <c r="AO51" s="26">
        <f t="shared" si="21"/>
        <v>9.8484848484848481E-2</v>
      </c>
      <c r="AP51" s="26">
        <f t="shared" si="22"/>
        <v>4.8152295632698738E-2</v>
      </c>
      <c r="AQ51" s="26">
        <f t="shared" si="23"/>
        <v>-6.970849176172334E-3</v>
      </c>
      <c r="AS51" s="30"/>
      <c r="AT51" s="30"/>
      <c r="AU51" s="30"/>
      <c r="AV51" s="30"/>
      <c r="AW51" s="30"/>
      <c r="AX51" s="30"/>
      <c r="AY51" s="30"/>
      <c r="AZ51" s="30"/>
      <c r="BA51" s="30"/>
      <c r="BD51" s="30"/>
      <c r="BE51" s="30"/>
      <c r="BF51" s="30"/>
      <c r="BG51" s="30"/>
      <c r="BH51" s="30"/>
      <c r="BI51" s="30"/>
      <c r="BJ51" s="30"/>
      <c r="BK51" s="30"/>
      <c r="BL51" s="30"/>
      <c r="BQ51" s="32"/>
      <c r="BR51" s="30"/>
      <c r="BS51" s="30"/>
      <c r="CB51" s="18"/>
      <c r="CC51" s="19"/>
      <c r="CD51" s="19"/>
      <c r="CE51" s="19"/>
      <c r="CF51" s="19"/>
      <c r="CG51" s="19"/>
      <c r="CH51" s="19"/>
      <c r="CI51" s="20"/>
      <c r="CJ51" s="20"/>
      <c r="CN51" s="18"/>
      <c r="CO51" s="19"/>
      <c r="CP51" s="19"/>
      <c r="CQ51" s="19"/>
      <c r="CR51" s="19"/>
      <c r="CS51" s="19"/>
      <c r="CT51" s="19"/>
      <c r="CU51" s="20"/>
      <c r="CV51" s="20"/>
      <c r="DA51" s="18">
        <f t="shared" si="6"/>
        <v>0</v>
      </c>
      <c r="DB51" s="19">
        <f t="shared" si="7"/>
        <v>0</v>
      </c>
      <c r="DC51" s="19">
        <f t="shared" si="8"/>
        <v>0</v>
      </c>
      <c r="DD51" s="19">
        <f t="shared" si="9"/>
        <v>0</v>
      </c>
      <c r="DE51" s="19">
        <f t="shared" si="10"/>
        <v>0</v>
      </c>
      <c r="DF51" s="19">
        <f t="shared" si="11"/>
        <v>0</v>
      </c>
      <c r="DG51" s="19">
        <f t="shared" si="12"/>
        <v>0</v>
      </c>
      <c r="DH51" s="20">
        <f t="shared" si="13"/>
        <v>0</v>
      </c>
      <c r="DI51" s="20">
        <f t="shared" si="14"/>
        <v>0</v>
      </c>
      <c r="DJ51" s="2"/>
    </row>
    <row r="52" spans="19:114" x14ac:dyDescent="0.3">
      <c r="S52" s="18">
        <v>24.04</v>
      </c>
      <c r="T52" s="18">
        <v>5.18</v>
      </c>
      <c r="U52" s="18">
        <v>149.5</v>
      </c>
      <c r="V52" s="18">
        <v>136</v>
      </c>
      <c r="W52" s="18">
        <v>9.2899999999999991</v>
      </c>
      <c r="X52" s="18">
        <v>32.08</v>
      </c>
      <c r="AC52" s="21"/>
      <c r="AD52" s="36"/>
      <c r="AE52" s="21"/>
      <c r="AF52" s="21"/>
      <c r="AG52" s="21"/>
      <c r="AH52" s="21"/>
      <c r="AK52" s="25"/>
      <c r="AL52" s="26">
        <f t="shared" si="16"/>
        <v>-3.8400000000000031E-2</v>
      </c>
      <c r="AM52" s="26">
        <f t="shared" si="19"/>
        <v>6.1475409836065538E-2</v>
      </c>
      <c r="AN52" s="26">
        <f t="shared" si="20"/>
        <v>-5.3797468354430382E-2</v>
      </c>
      <c r="AO52" s="26">
        <f t="shared" si="21"/>
        <v>-6.2068965517241378E-2</v>
      </c>
      <c r="AP52" s="26">
        <f t="shared" si="22"/>
        <v>-7.4786324786325093E-3</v>
      </c>
      <c r="AQ52" s="26">
        <f t="shared" si="23"/>
        <v>2.3611997447351579E-2</v>
      </c>
      <c r="AS52" s="30"/>
      <c r="AT52" s="30"/>
      <c r="AU52" s="30"/>
      <c r="AV52" s="30"/>
      <c r="AW52" s="30"/>
      <c r="AX52" s="30"/>
      <c r="AY52" s="30"/>
      <c r="AZ52" s="30"/>
      <c r="BA52" s="30"/>
      <c r="BD52" s="30"/>
      <c r="BE52" s="30"/>
      <c r="BF52" s="30"/>
      <c r="BG52" s="30"/>
      <c r="BH52" s="30"/>
      <c r="BI52" s="30"/>
      <c r="BJ52" s="30"/>
      <c r="BK52" s="30"/>
      <c r="BL52" s="30"/>
      <c r="BQ52" s="32"/>
      <c r="BR52" s="30"/>
      <c r="BS52" s="30"/>
      <c r="CB52" s="18"/>
      <c r="CC52" s="19"/>
      <c r="CD52" s="19"/>
      <c r="CE52" s="19"/>
      <c r="CF52" s="19"/>
      <c r="CG52" s="19"/>
      <c r="CH52" s="19"/>
      <c r="CI52" s="20"/>
      <c r="CJ52" s="20"/>
      <c r="CN52" s="18"/>
      <c r="CO52" s="19"/>
      <c r="CP52" s="19"/>
      <c r="CQ52" s="19"/>
      <c r="CR52" s="19"/>
      <c r="CS52" s="19"/>
      <c r="CT52" s="19"/>
      <c r="CU52" s="20"/>
      <c r="CV52" s="20"/>
      <c r="DA52" s="18">
        <f t="shared" si="6"/>
        <v>0</v>
      </c>
      <c r="DB52" s="19">
        <f t="shared" si="7"/>
        <v>0</v>
      </c>
      <c r="DC52" s="19">
        <f t="shared" si="8"/>
        <v>0</v>
      </c>
      <c r="DD52" s="19">
        <f t="shared" si="9"/>
        <v>0</v>
      </c>
      <c r="DE52" s="19">
        <f t="shared" si="10"/>
        <v>0</v>
      </c>
      <c r="DF52" s="19">
        <f t="shared" si="11"/>
        <v>0</v>
      </c>
      <c r="DG52" s="19">
        <f t="shared" si="12"/>
        <v>0</v>
      </c>
      <c r="DH52" s="20">
        <f t="shared" si="13"/>
        <v>0</v>
      </c>
      <c r="DI52" s="20">
        <f t="shared" si="14"/>
        <v>0</v>
      </c>
      <c r="DJ52" s="2"/>
    </row>
    <row r="53" spans="19:114" x14ac:dyDescent="0.3">
      <c r="S53" s="18">
        <v>23.72</v>
      </c>
      <c r="T53" s="18">
        <v>5.36</v>
      </c>
      <c r="U53" s="18">
        <v>156.5</v>
      </c>
      <c r="V53" s="18">
        <v>138</v>
      </c>
      <c r="W53" s="18">
        <v>9.16</v>
      </c>
      <c r="X53" s="18">
        <v>32.18</v>
      </c>
      <c r="AC53" s="21"/>
      <c r="AD53" s="36"/>
      <c r="AE53" s="21"/>
      <c r="AF53" s="21"/>
      <c r="AG53" s="21"/>
      <c r="AH53" s="21"/>
      <c r="AK53" s="25"/>
      <c r="AL53" s="26">
        <f t="shared" si="16"/>
        <v>-1.3311148086522475E-2</v>
      </c>
      <c r="AM53" s="26">
        <f t="shared" si="19"/>
        <v>3.4749034749034867E-2</v>
      </c>
      <c r="AN53" s="26">
        <f t="shared" si="20"/>
        <v>4.6822742474916385E-2</v>
      </c>
      <c r="AO53" s="26">
        <f t="shared" si="21"/>
        <v>1.4705882352941176E-2</v>
      </c>
      <c r="AP53" s="26">
        <f t="shared" si="22"/>
        <v>-1.3993541442411089E-2</v>
      </c>
      <c r="AQ53" s="26">
        <f t="shared" si="23"/>
        <v>3.1172069825436853E-3</v>
      </c>
      <c r="AS53" s="30"/>
      <c r="AT53" s="30"/>
      <c r="AU53" s="30"/>
      <c r="AV53" s="30"/>
      <c r="AW53" s="30"/>
      <c r="AX53" s="30"/>
      <c r="AY53" s="30"/>
      <c r="AZ53" s="30"/>
      <c r="BA53" s="30"/>
      <c r="BD53" s="30"/>
      <c r="BE53" s="30"/>
      <c r="BF53" s="30"/>
      <c r="BG53" s="30"/>
      <c r="BH53" s="30"/>
      <c r="BI53" s="30"/>
      <c r="BJ53" s="30"/>
      <c r="BK53" s="30"/>
      <c r="BL53" s="30"/>
      <c r="BQ53" s="32"/>
      <c r="BR53" s="30"/>
      <c r="BS53" s="30"/>
      <c r="CB53" s="18"/>
      <c r="CC53" s="19"/>
      <c r="CD53" s="19"/>
      <c r="CE53" s="19"/>
      <c r="CF53" s="19"/>
      <c r="CG53" s="19"/>
      <c r="CH53" s="19"/>
      <c r="CI53" s="20"/>
      <c r="CJ53" s="20"/>
      <c r="CN53" s="18"/>
      <c r="CO53" s="19"/>
      <c r="CP53" s="19"/>
      <c r="CQ53" s="19"/>
      <c r="CR53" s="19"/>
      <c r="CS53" s="19"/>
      <c r="CT53" s="19"/>
      <c r="CU53" s="20"/>
      <c r="CV53" s="20"/>
      <c r="DA53" s="18">
        <f t="shared" si="6"/>
        <v>0</v>
      </c>
      <c r="DB53" s="19">
        <f t="shared" si="7"/>
        <v>0</v>
      </c>
      <c r="DC53" s="19">
        <f t="shared" si="8"/>
        <v>0</v>
      </c>
      <c r="DD53" s="19">
        <f t="shared" si="9"/>
        <v>0</v>
      </c>
      <c r="DE53" s="19">
        <f t="shared" si="10"/>
        <v>0</v>
      </c>
      <c r="DF53" s="19">
        <f t="shared" si="11"/>
        <v>0</v>
      </c>
      <c r="DG53" s="19">
        <f t="shared" si="12"/>
        <v>0</v>
      </c>
      <c r="DH53" s="20">
        <f t="shared" si="13"/>
        <v>0</v>
      </c>
      <c r="DI53" s="20">
        <f t="shared" si="14"/>
        <v>0</v>
      </c>
      <c r="DJ53" s="2"/>
    </row>
    <row r="54" spans="19:114" x14ac:dyDescent="0.3">
      <c r="S54" s="18">
        <v>23.9</v>
      </c>
      <c r="T54" s="18">
        <v>5.05</v>
      </c>
      <c r="U54" s="18">
        <v>160.5</v>
      </c>
      <c r="V54" s="18">
        <v>135.5</v>
      </c>
      <c r="W54" s="18">
        <v>9.41</v>
      </c>
      <c r="X54" s="18">
        <v>32.15</v>
      </c>
      <c r="AC54" s="21"/>
      <c r="AD54" s="21"/>
      <c r="AE54" s="21"/>
      <c r="AF54" s="21"/>
      <c r="AG54" s="21"/>
      <c r="AH54" s="21"/>
      <c r="AK54" s="25"/>
      <c r="AL54" s="26">
        <f t="shared" si="16"/>
        <v>7.5885328836424841E-3</v>
      </c>
      <c r="AM54" s="26">
        <f t="shared" si="19"/>
        <v>-5.7835820895522479E-2</v>
      </c>
      <c r="AN54" s="26">
        <f t="shared" si="20"/>
        <v>2.5559105431309903E-2</v>
      </c>
      <c r="AO54" s="26">
        <f t="shared" si="21"/>
        <v>-1.8115942028985508E-2</v>
      </c>
      <c r="AP54" s="26">
        <f t="shared" si="22"/>
        <v>2.7292576419213975E-2</v>
      </c>
      <c r="AQ54" s="26">
        <f t="shared" si="23"/>
        <v>-9.3225605966442316E-4</v>
      </c>
      <c r="AS54" s="30"/>
      <c r="AT54" s="30"/>
      <c r="AU54" s="30"/>
      <c r="AV54" s="30"/>
      <c r="AW54" s="30"/>
      <c r="AX54" s="30"/>
      <c r="AY54" s="30"/>
      <c r="AZ54" s="30"/>
      <c r="BA54" s="30"/>
      <c r="BD54" s="30"/>
      <c r="BE54" s="30"/>
      <c r="BF54" s="30"/>
      <c r="BG54" s="30"/>
      <c r="BH54" s="30"/>
      <c r="BI54" s="30"/>
      <c r="BJ54" s="30"/>
      <c r="BK54" s="30"/>
      <c r="BL54" s="30"/>
      <c r="BQ54" s="32"/>
      <c r="BR54" s="30"/>
      <c r="BS54" s="30"/>
      <c r="CB54" s="18"/>
      <c r="CC54" s="19"/>
      <c r="CD54" s="19"/>
      <c r="CE54" s="19"/>
      <c r="CF54" s="19"/>
      <c r="CG54" s="19"/>
      <c r="CH54" s="19"/>
      <c r="CI54" s="20"/>
      <c r="CJ54" s="20"/>
      <c r="CN54" s="18"/>
      <c r="CO54" s="19"/>
      <c r="CP54" s="19"/>
      <c r="CQ54" s="19"/>
      <c r="CR54" s="19"/>
      <c r="CS54" s="19"/>
      <c r="CT54" s="19"/>
      <c r="CU54" s="20"/>
      <c r="CV54" s="20"/>
      <c r="DA54" s="18">
        <f t="shared" si="6"/>
        <v>0</v>
      </c>
      <c r="DB54" s="19">
        <f t="shared" si="7"/>
        <v>0</v>
      </c>
      <c r="DC54" s="19">
        <f t="shared" si="8"/>
        <v>0</v>
      </c>
      <c r="DD54" s="19">
        <f t="shared" si="9"/>
        <v>0</v>
      </c>
      <c r="DE54" s="19">
        <f t="shared" si="10"/>
        <v>0</v>
      </c>
      <c r="DF54" s="19">
        <f t="shared" si="11"/>
        <v>0</v>
      </c>
      <c r="DG54" s="19">
        <f t="shared" si="12"/>
        <v>0</v>
      </c>
      <c r="DH54" s="20">
        <f t="shared" si="13"/>
        <v>0</v>
      </c>
      <c r="DI54" s="20">
        <f t="shared" si="14"/>
        <v>0</v>
      </c>
      <c r="DJ54" s="2"/>
    </row>
    <row r="55" spans="19:114" x14ac:dyDescent="0.3">
      <c r="S55" s="18">
        <v>23.28</v>
      </c>
      <c r="T55" s="18">
        <v>5.19</v>
      </c>
      <c r="U55" s="18">
        <v>168.5</v>
      </c>
      <c r="V55" s="18">
        <v>136</v>
      </c>
      <c r="W55" s="18">
        <v>10.039999999999999</v>
      </c>
      <c r="X55" s="18">
        <v>29.87</v>
      </c>
      <c r="AK55" s="25"/>
      <c r="AL55" s="26">
        <f t="shared" si="16"/>
        <v>-2.5941422594142154E-2</v>
      </c>
      <c r="AM55" s="26">
        <f t="shared" si="19"/>
        <v>2.7722772277227838E-2</v>
      </c>
      <c r="AN55" s="26">
        <f t="shared" si="20"/>
        <v>4.9844236760124609E-2</v>
      </c>
      <c r="AO55" s="26">
        <f t="shared" si="21"/>
        <v>3.6900369003690036E-3</v>
      </c>
      <c r="AP55" s="26">
        <f t="shared" si="22"/>
        <v>6.6950053134962703E-2</v>
      </c>
      <c r="AQ55" s="26">
        <f t="shared" si="23"/>
        <v>-7.0917573872472717E-2</v>
      </c>
      <c r="AS55" s="30"/>
      <c r="AT55" s="30"/>
      <c r="AU55" s="30"/>
      <c r="AV55" s="30"/>
      <c r="AW55" s="30"/>
      <c r="AX55" s="30"/>
      <c r="AY55" s="30"/>
      <c r="AZ55" s="30"/>
      <c r="BA55" s="30"/>
      <c r="BD55" s="30"/>
      <c r="BE55" s="30"/>
      <c r="BF55" s="30"/>
      <c r="BG55" s="30"/>
      <c r="BH55" s="30"/>
      <c r="BI55" s="30"/>
      <c r="BJ55" s="30"/>
      <c r="BK55" s="30"/>
      <c r="BL55" s="30"/>
      <c r="BQ55" s="32"/>
      <c r="BR55" s="30"/>
      <c r="BS55" s="30"/>
      <c r="CB55" s="18"/>
      <c r="CC55" s="19"/>
      <c r="CD55" s="19"/>
      <c r="CE55" s="19"/>
      <c r="CF55" s="19"/>
      <c r="CG55" s="19"/>
      <c r="CH55" s="19"/>
      <c r="CI55" s="20"/>
      <c r="CJ55" s="20"/>
      <c r="CN55" s="18"/>
      <c r="CO55" s="19"/>
      <c r="CP55" s="19"/>
      <c r="CQ55" s="19"/>
      <c r="CR55" s="19"/>
      <c r="CS55" s="19"/>
      <c r="CT55" s="19"/>
      <c r="CU55" s="20"/>
      <c r="CV55" s="20"/>
      <c r="DA55" s="18">
        <f t="shared" si="6"/>
        <v>0</v>
      </c>
      <c r="DB55" s="19">
        <f t="shared" si="7"/>
        <v>0</v>
      </c>
      <c r="DC55" s="19">
        <f t="shared" si="8"/>
        <v>0</v>
      </c>
      <c r="DD55" s="19">
        <f t="shared" si="9"/>
        <v>0</v>
      </c>
      <c r="DE55" s="19">
        <f t="shared" si="10"/>
        <v>0</v>
      </c>
      <c r="DF55" s="19">
        <f t="shared" si="11"/>
        <v>0</v>
      </c>
      <c r="DG55" s="19">
        <f t="shared" si="12"/>
        <v>0</v>
      </c>
      <c r="DH55" s="20">
        <f t="shared" si="13"/>
        <v>0</v>
      </c>
      <c r="DI55" s="20">
        <f t="shared" si="14"/>
        <v>0</v>
      </c>
      <c r="DJ55" s="2"/>
    </row>
    <row r="56" spans="19:114" x14ac:dyDescent="0.3">
      <c r="S56" s="18">
        <v>25.85</v>
      </c>
      <c r="T56" s="18">
        <v>5.39</v>
      </c>
      <c r="U56" s="18">
        <v>176.5</v>
      </c>
      <c r="V56" s="18">
        <v>134</v>
      </c>
      <c r="W56" s="18">
        <v>9.66</v>
      </c>
      <c r="X56" s="18">
        <v>29.17</v>
      </c>
      <c r="AK56" s="25"/>
      <c r="AL56" s="26">
        <f t="shared" si="16"/>
        <v>0.11039518900343644</v>
      </c>
      <c r="AM56" s="26">
        <f t="shared" si="19"/>
        <v>3.8535645472061515E-2</v>
      </c>
      <c r="AN56" s="26">
        <f t="shared" si="20"/>
        <v>4.7477744807121663E-2</v>
      </c>
      <c r="AO56" s="26">
        <f t="shared" si="21"/>
        <v>-1.4705882352941176E-2</v>
      </c>
      <c r="AP56" s="26">
        <f t="shared" si="22"/>
        <v>-3.7848605577689147E-2</v>
      </c>
      <c r="AQ56" s="26">
        <f t="shared" si="23"/>
        <v>-2.34348844994978E-2</v>
      </c>
      <c r="AS56" s="30"/>
      <c r="AT56" s="30"/>
      <c r="AU56" s="30"/>
      <c r="AV56" s="30"/>
      <c r="AW56" s="30"/>
      <c r="AX56" s="30"/>
      <c r="AY56" s="30"/>
      <c r="AZ56" s="30"/>
      <c r="BA56" s="30"/>
      <c r="BD56" s="30"/>
      <c r="BE56" s="30"/>
      <c r="BF56" s="30"/>
      <c r="BG56" s="21"/>
      <c r="BH56" s="21"/>
      <c r="BI56" s="21"/>
      <c r="BJ56" s="21"/>
      <c r="BK56" s="21"/>
      <c r="BL56" s="21"/>
      <c r="BQ56" s="32"/>
      <c r="BR56" s="30"/>
      <c r="BS56" s="30"/>
      <c r="CB56" s="18"/>
      <c r="CC56" s="19"/>
      <c r="CD56" s="19"/>
      <c r="CE56" s="19"/>
      <c r="CF56" s="19"/>
      <c r="CG56" s="19"/>
      <c r="CH56" s="19"/>
      <c r="CI56" s="20"/>
      <c r="CJ56" s="20"/>
      <c r="CN56" s="18"/>
      <c r="CO56" s="19"/>
      <c r="CP56" s="19"/>
      <c r="CQ56" s="19"/>
      <c r="CR56" s="19"/>
      <c r="CS56" s="19"/>
      <c r="CT56" s="19"/>
      <c r="CU56" s="20"/>
      <c r="CV56" s="20"/>
      <c r="DA56" s="18">
        <f t="shared" si="6"/>
        <v>0</v>
      </c>
      <c r="DB56" s="19">
        <f t="shared" si="7"/>
        <v>0</v>
      </c>
      <c r="DC56" s="19">
        <f t="shared" si="8"/>
        <v>0</v>
      </c>
      <c r="DD56" s="19">
        <f t="shared" si="9"/>
        <v>0</v>
      </c>
      <c r="DE56" s="19">
        <f t="shared" si="10"/>
        <v>0</v>
      </c>
      <c r="DF56" s="19">
        <f t="shared" si="11"/>
        <v>0</v>
      </c>
      <c r="DG56" s="19">
        <f t="shared" si="12"/>
        <v>0</v>
      </c>
      <c r="DH56" s="20">
        <f t="shared" si="13"/>
        <v>0</v>
      </c>
      <c r="DI56" s="20">
        <f t="shared" si="14"/>
        <v>0</v>
      </c>
      <c r="DJ56" s="2"/>
    </row>
    <row r="57" spans="19:114" x14ac:dyDescent="0.3">
      <c r="S57" s="18">
        <v>27.38</v>
      </c>
      <c r="T57" s="18">
        <v>5.0999999999999996</v>
      </c>
      <c r="U57" s="18">
        <v>167</v>
      </c>
      <c r="V57" s="18">
        <v>139</v>
      </c>
      <c r="W57" s="18">
        <v>9.6</v>
      </c>
      <c r="X57" s="18">
        <v>28.83</v>
      </c>
      <c r="AC57" s="23"/>
      <c r="AD57" s="23"/>
      <c r="AE57" s="23"/>
      <c r="AK57" s="25"/>
      <c r="AL57" s="26">
        <f t="shared" si="16"/>
        <v>5.9187620889748452E-2</v>
      </c>
      <c r="AM57" s="26">
        <f t="shared" si="19"/>
        <v>-5.380333951762524E-2</v>
      </c>
      <c r="AN57" s="26">
        <f t="shared" si="20"/>
        <v>-5.3824362606232294E-2</v>
      </c>
      <c r="AO57" s="26">
        <f t="shared" si="21"/>
        <v>3.7313432835820892E-2</v>
      </c>
      <c r="AP57" s="26">
        <f t="shared" si="22"/>
        <v>-6.2111801242236541E-3</v>
      </c>
      <c r="AQ57" s="26">
        <f t="shared" si="23"/>
        <v>-1.1655810764484175E-2</v>
      </c>
      <c r="AS57" s="30"/>
      <c r="AT57" s="30"/>
      <c r="AU57" s="30"/>
      <c r="AV57" s="30"/>
      <c r="AW57" s="30"/>
      <c r="AX57" s="30"/>
      <c r="AY57" s="30"/>
      <c r="AZ57" s="30"/>
      <c r="BA57" s="30"/>
      <c r="BD57" s="30"/>
      <c r="BE57" s="30"/>
      <c r="BF57" s="30"/>
      <c r="BG57" s="21"/>
      <c r="BH57" s="21"/>
      <c r="BI57" s="21"/>
      <c r="BJ57" s="21"/>
      <c r="BK57" s="21"/>
      <c r="BL57" s="21"/>
      <c r="BQ57" s="32"/>
      <c r="BR57" s="30"/>
      <c r="BS57" s="30"/>
      <c r="CB57" s="18"/>
      <c r="CC57" s="19"/>
      <c r="CD57" s="19"/>
      <c r="CE57" s="19"/>
      <c r="CF57" s="19"/>
      <c r="CG57" s="19"/>
      <c r="CH57" s="19"/>
      <c r="CI57" s="20"/>
      <c r="CJ57" s="20"/>
      <c r="CN57" s="18"/>
      <c r="CO57" s="19"/>
      <c r="CP57" s="19"/>
      <c r="CQ57" s="19"/>
      <c r="CR57" s="19"/>
      <c r="CS57" s="19"/>
      <c r="CT57" s="19"/>
      <c r="CU57" s="20"/>
      <c r="CV57" s="20"/>
      <c r="DA57" s="18">
        <f t="shared" si="6"/>
        <v>0</v>
      </c>
      <c r="DB57" s="19">
        <f t="shared" si="7"/>
        <v>0</v>
      </c>
      <c r="DC57" s="19">
        <f t="shared" si="8"/>
        <v>0</v>
      </c>
      <c r="DD57" s="19">
        <f t="shared" si="9"/>
        <v>0</v>
      </c>
      <c r="DE57" s="19">
        <f t="shared" si="10"/>
        <v>0</v>
      </c>
      <c r="DF57" s="19">
        <f t="shared" si="11"/>
        <v>0</v>
      </c>
      <c r="DG57" s="19">
        <f t="shared" si="12"/>
        <v>0</v>
      </c>
      <c r="DH57" s="20">
        <f t="shared" si="13"/>
        <v>0</v>
      </c>
      <c r="DI57" s="20">
        <f t="shared" si="14"/>
        <v>0</v>
      </c>
      <c r="DJ57" s="2"/>
    </row>
    <row r="58" spans="19:114" x14ac:dyDescent="0.3">
      <c r="S58" s="18">
        <v>25.78</v>
      </c>
      <c r="T58" s="18">
        <v>4.83</v>
      </c>
      <c r="U58" s="18">
        <v>177</v>
      </c>
      <c r="V58" s="18">
        <v>147</v>
      </c>
      <c r="W58" s="18">
        <v>9.74</v>
      </c>
      <c r="X58" s="18">
        <v>29.1</v>
      </c>
      <c r="AD58" s="32"/>
      <c r="AE58" s="32"/>
      <c r="AK58" s="25"/>
      <c r="AL58" s="26">
        <f t="shared" si="16"/>
        <v>-5.8436815193571877E-2</v>
      </c>
      <c r="AM58" s="26">
        <f t="shared" si="19"/>
        <v>-5.2941176470588158E-2</v>
      </c>
      <c r="AN58" s="26">
        <f t="shared" si="20"/>
        <v>5.9880239520958084E-2</v>
      </c>
      <c r="AO58" s="26">
        <f t="shared" si="21"/>
        <v>5.7553956834532377E-2</v>
      </c>
      <c r="AP58" s="26">
        <f t="shared" si="22"/>
        <v>1.4583333333333393E-2</v>
      </c>
      <c r="AQ58" s="26">
        <f t="shared" si="23"/>
        <v>9.3652445369407956E-3</v>
      </c>
      <c r="AS58" s="30"/>
      <c r="AT58" s="30"/>
      <c r="AU58" s="30"/>
      <c r="AV58" s="30"/>
      <c r="AW58" s="30"/>
      <c r="AX58" s="30"/>
      <c r="AY58" s="30"/>
      <c r="AZ58" s="30"/>
      <c r="BA58" s="30"/>
      <c r="BD58" s="30"/>
      <c r="BE58" s="30"/>
      <c r="BF58" s="30"/>
      <c r="BG58" s="21"/>
      <c r="BH58" s="21"/>
      <c r="BI58" s="21"/>
      <c r="BJ58" s="21"/>
      <c r="BK58" s="21"/>
      <c r="BL58" s="21"/>
      <c r="BQ58" s="32"/>
      <c r="BR58" s="30"/>
      <c r="BS58" s="30"/>
      <c r="CB58" s="18"/>
      <c r="CC58" s="19"/>
      <c r="CD58" s="19"/>
      <c r="CE58" s="19"/>
      <c r="CF58" s="19"/>
      <c r="CG58" s="19"/>
      <c r="CH58" s="19"/>
      <c r="CI58" s="20"/>
      <c r="CJ58" s="20"/>
      <c r="CN58" s="18"/>
      <c r="CO58" s="19"/>
      <c r="CP58" s="19"/>
      <c r="CQ58" s="19"/>
      <c r="CR58" s="19"/>
      <c r="CS58" s="19"/>
      <c r="CT58" s="19"/>
      <c r="CU58" s="20"/>
      <c r="CV58" s="20"/>
      <c r="DA58" s="18">
        <f t="shared" si="6"/>
        <v>0</v>
      </c>
      <c r="DB58" s="19">
        <f t="shared" si="7"/>
        <v>0</v>
      </c>
      <c r="DC58" s="19">
        <f t="shared" si="8"/>
        <v>0</v>
      </c>
      <c r="DD58" s="19">
        <f t="shared" si="9"/>
        <v>0</v>
      </c>
      <c r="DE58" s="19">
        <f t="shared" si="10"/>
        <v>0</v>
      </c>
      <c r="DF58" s="19">
        <f t="shared" si="11"/>
        <v>0</v>
      </c>
      <c r="DG58" s="19">
        <f t="shared" si="12"/>
        <v>0</v>
      </c>
      <c r="DH58" s="20">
        <f t="shared" si="13"/>
        <v>0</v>
      </c>
      <c r="DI58" s="20">
        <f t="shared" si="14"/>
        <v>0</v>
      </c>
      <c r="DJ58" s="2"/>
    </row>
    <row r="59" spans="19:114" x14ac:dyDescent="0.3">
      <c r="S59" s="18">
        <v>26.54</v>
      </c>
      <c r="T59" s="18">
        <v>4.97</v>
      </c>
      <c r="U59" s="18">
        <v>190.5</v>
      </c>
      <c r="V59" s="18">
        <v>150</v>
      </c>
      <c r="W59" s="18">
        <v>10.83</v>
      </c>
      <c r="X59" s="18">
        <v>30.73</v>
      </c>
      <c r="AC59" s="37"/>
      <c r="AD59" s="30"/>
      <c r="AE59" s="30"/>
      <c r="AK59" s="25"/>
      <c r="AL59" s="26">
        <f t="shared" si="16"/>
        <v>2.9480217222653142E-2</v>
      </c>
      <c r="AM59" s="26">
        <f t="shared" si="19"/>
        <v>2.8985507246376746E-2</v>
      </c>
      <c r="AN59" s="26">
        <f t="shared" si="20"/>
        <v>7.6271186440677971E-2</v>
      </c>
      <c r="AO59" s="26">
        <f t="shared" si="21"/>
        <v>2.0408163265306121E-2</v>
      </c>
      <c r="AP59" s="26">
        <f t="shared" si="22"/>
        <v>0.11190965092402462</v>
      </c>
      <c r="AQ59" s="26">
        <f t="shared" si="23"/>
        <v>5.6013745704467315E-2</v>
      </c>
      <c r="AS59" s="30"/>
      <c r="AT59" s="30"/>
      <c r="AU59" s="30"/>
      <c r="AV59" s="30"/>
      <c r="AW59" s="30"/>
      <c r="AX59" s="30"/>
      <c r="AY59" s="30"/>
      <c r="AZ59" s="30"/>
      <c r="BA59" s="30"/>
      <c r="BD59" s="30"/>
      <c r="BE59" s="30"/>
      <c r="BF59" s="30"/>
      <c r="BG59" s="21"/>
      <c r="BH59" s="21"/>
      <c r="BI59" s="21"/>
      <c r="BJ59" s="21"/>
      <c r="BK59" s="21"/>
      <c r="BL59" s="21"/>
      <c r="BQ59" s="32"/>
      <c r="BR59" s="30"/>
      <c r="BS59" s="30"/>
      <c r="CB59" s="18"/>
      <c r="CC59" s="19"/>
      <c r="CD59" s="19"/>
      <c r="CE59" s="19"/>
      <c r="CF59" s="19"/>
      <c r="CG59" s="19"/>
      <c r="CH59" s="19"/>
      <c r="CI59" s="20"/>
      <c r="CJ59" s="20"/>
      <c r="CN59" s="18"/>
      <c r="CO59" s="19"/>
      <c r="CP59" s="19"/>
      <c r="CQ59" s="19"/>
      <c r="CR59" s="19"/>
      <c r="CS59" s="19"/>
      <c r="CT59" s="19"/>
      <c r="CU59" s="20"/>
      <c r="CV59" s="20"/>
      <c r="DA59" s="18">
        <f t="shared" si="6"/>
        <v>0</v>
      </c>
      <c r="DB59" s="19">
        <f t="shared" si="7"/>
        <v>0</v>
      </c>
      <c r="DC59" s="19">
        <f t="shared" si="8"/>
        <v>0</v>
      </c>
      <c r="DD59" s="19">
        <f t="shared" si="9"/>
        <v>0</v>
      </c>
      <c r="DE59" s="19">
        <f t="shared" si="10"/>
        <v>0</v>
      </c>
      <c r="DF59" s="19">
        <f t="shared" si="11"/>
        <v>0</v>
      </c>
      <c r="DG59" s="19">
        <f t="shared" si="12"/>
        <v>0</v>
      </c>
      <c r="DH59" s="20">
        <f t="shared" si="13"/>
        <v>0</v>
      </c>
      <c r="DI59" s="20">
        <f t="shared" si="14"/>
        <v>0</v>
      </c>
      <c r="DJ59" s="2"/>
    </row>
    <row r="60" spans="19:114" ht="14.5" x14ac:dyDescent="0.35">
      <c r="S60" s="18">
        <v>27.3</v>
      </c>
      <c r="T60" s="18">
        <v>5.1100000000000003</v>
      </c>
      <c r="U60" s="18">
        <v>196.5</v>
      </c>
      <c r="V60" s="18">
        <v>148</v>
      </c>
      <c r="W60" s="18">
        <v>11.23</v>
      </c>
      <c r="X60" s="18">
        <v>31</v>
      </c>
      <c r="AC60" s="37"/>
      <c r="AD60" s="30"/>
      <c r="AE60" s="30"/>
      <c r="AK60" s="25"/>
      <c r="AL60" s="26">
        <f t="shared" si="16"/>
        <v>2.8636021100226134E-2</v>
      </c>
      <c r="AM60" s="26">
        <f t="shared" si="19"/>
        <v>2.8169014084507157E-2</v>
      </c>
      <c r="AN60" s="26">
        <f t="shared" si="20"/>
        <v>3.1496062992125984E-2</v>
      </c>
      <c r="AO60" s="26">
        <f t="shared" si="21"/>
        <v>-1.3333333333333334E-2</v>
      </c>
      <c r="AP60" s="26">
        <f t="shared" si="22"/>
        <v>3.6934441366574366E-2</v>
      </c>
      <c r="AQ60" s="26">
        <f t="shared" si="23"/>
        <v>8.7862024080702754E-3</v>
      </c>
      <c r="AS60" s="30"/>
      <c r="AT60" s="38"/>
      <c r="AU60" s="38"/>
      <c r="AV60" s="38"/>
      <c r="AW60" s="38"/>
      <c r="AX60" s="38"/>
      <c r="AY60" s="38"/>
      <c r="AZ60" s="38"/>
      <c r="BA60" s="30"/>
      <c r="BD60" s="30"/>
      <c r="BE60" s="30"/>
      <c r="BF60" s="30"/>
      <c r="BG60" s="21"/>
      <c r="BH60" s="21"/>
      <c r="BI60" s="21"/>
      <c r="BJ60" s="21"/>
      <c r="BK60" s="21"/>
      <c r="BL60" s="21"/>
      <c r="BQ60" s="32"/>
      <c r="BR60" s="30"/>
      <c r="BS60" s="30"/>
      <c r="CB60" s="18"/>
      <c r="CC60" s="19"/>
      <c r="CD60" s="19"/>
      <c r="CE60" s="19"/>
      <c r="CF60" s="19"/>
      <c r="CG60" s="19"/>
      <c r="CH60" s="19"/>
      <c r="CI60" s="20"/>
      <c r="CJ60" s="20"/>
      <c r="CN60" s="18"/>
      <c r="CO60" s="19"/>
      <c r="CP60" s="19"/>
      <c r="CQ60" s="19"/>
      <c r="CR60" s="19"/>
      <c r="CS60" s="19"/>
      <c r="CT60" s="19"/>
      <c r="CU60" s="20"/>
      <c r="CV60" s="20"/>
      <c r="DA60" s="18">
        <f t="shared" si="6"/>
        <v>0</v>
      </c>
      <c r="DB60" s="19">
        <f t="shared" si="7"/>
        <v>0</v>
      </c>
      <c r="DC60" s="19">
        <f t="shared" si="8"/>
        <v>0</v>
      </c>
      <c r="DD60" s="19">
        <f t="shared" si="9"/>
        <v>0</v>
      </c>
      <c r="DE60" s="19">
        <f t="shared" si="10"/>
        <v>0</v>
      </c>
      <c r="DF60" s="19">
        <f t="shared" si="11"/>
        <v>0</v>
      </c>
      <c r="DG60" s="19">
        <f t="shared" si="12"/>
        <v>0</v>
      </c>
      <c r="DH60" s="20">
        <f t="shared" si="13"/>
        <v>0</v>
      </c>
      <c r="DI60" s="20">
        <f t="shared" si="14"/>
        <v>0</v>
      </c>
      <c r="DJ60" s="2"/>
    </row>
    <row r="61" spans="19:114" ht="14.5" x14ac:dyDescent="0.35">
      <c r="S61" s="18">
        <v>29.57</v>
      </c>
      <c r="T61" s="18">
        <v>5.19</v>
      </c>
      <c r="U61" s="18">
        <v>202</v>
      </c>
      <c r="V61" s="18">
        <v>162.5</v>
      </c>
      <c r="W61" s="18">
        <v>10.99</v>
      </c>
      <c r="X61" s="18">
        <v>33.08</v>
      </c>
      <c r="AC61" s="37"/>
      <c r="AD61" s="30"/>
      <c r="AE61" s="30"/>
      <c r="AK61" s="25"/>
      <c r="AL61" s="26">
        <f t="shared" si="16"/>
        <v>8.3150183150183132E-2</v>
      </c>
      <c r="AM61" s="26">
        <f t="shared" si="19"/>
        <v>1.5655577299412929E-2</v>
      </c>
      <c r="AN61" s="26">
        <f t="shared" si="20"/>
        <v>2.7989821882951654E-2</v>
      </c>
      <c r="AO61" s="26">
        <f t="shared" si="21"/>
        <v>9.7972972972972971E-2</v>
      </c>
      <c r="AP61" s="26">
        <f t="shared" si="22"/>
        <v>-2.1371326803205717E-2</v>
      </c>
      <c r="AQ61" s="26">
        <f t="shared" si="23"/>
        <v>6.7096774193548328E-2</v>
      </c>
      <c r="AS61" s="30"/>
      <c r="AT61" s="39"/>
      <c r="AU61" s="39"/>
      <c r="AV61" s="39"/>
      <c r="AW61" s="39"/>
      <c r="AX61" s="39"/>
      <c r="AY61" s="39"/>
      <c r="AZ61" s="39"/>
      <c r="BA61" s="30"/>
      <c r="BD61" s="30"/>
      <c r="BE61" s="30"/>
      <c r="BF61" s="30"/>
      <c r="BG61" s="21"/>
      <c r="BH61" s="21"/>
      <c r="BI61" s="21"/>
      <c r="BJ61" s="21"/>
      <c r="BK61" s="21"/>
      <c r="BL61" s="21"/>
      <c r="BQ61" s="32"/>
      <c r="BR61" s="30"/>
      <c r="BS61" s="30"/>
      <c r="CB61" s="18"/>
      <c r="CC61" s="19"/>
      <c r="CD61" s="19"/>
      <c r="CE61" s="19"/>
      <c r="CF61" s="19"/>
      <c r="CG61" s="19"/>
      <c r="CH61" s="19"/>
      <c r="CI61" s="20"/>
      <c r="CJ61" s="20"/>
      <c r="CN61" s="18"/>
      <c r="CO61" s="19"/>
      <c r="CP61" s="19"/>
      <c r="CQ61" s="19"/>
      <c r="CR61" s="19"/>
      <c r="CS61" s="19"/>
      <c r="CT61" s="19"/>
      <c r="CU61" s="20"/>
      <c r="CV61" s="20"/>
      <c r="DA61" s="18">
        <f t="shared" si="6"/>
        <v>0</v>
      </c>
      <c r="DB61" s="19">
        <f t="shared" si="7"/>
        <v>0</v>
      </c>
      <c r="DC61" s="19">
        <f t="shared" si="8"/>
        <v>0</v>
      </c>
      <c r="DD61" s="19">
        <f t="shared" si="9"/>
        <v>0</v>
      </c>
      <c r="DE61" s="19">
        <f t="shared" si="10"/>
        <v>0</v>
      </c>
      <c r="DF61" s="19">
        <f t="shared" si="11"/>
        <v>0</v>
      </c>
      <c r="DG61" s="19">
        <f t="shared" si="12"/>
        <v>0</v>
      </c>
      <c r="DH61" s="20">
        <f t="shared" si="13"/>
        <v>0</v>
      </c>
      <c r="DI61" s="20">
        <f t="shared" si="14"/>
        <v>0</v>
      </c>
      <c r="DJ61" s="2"/>
    </row>
    <row r="62" spans="19:114" ht="14.5" x14ac:dyDescent="0.35">
      <c r="S62" s="18">
        <v>30.2</v>
      </c>
      <c r="T62" s="18">
        <v>5.25</v>
      </c>
      <c r="U62" s="18">
        <v>197.5</v>
      </c>
      <c r="V62" s="18">
        <v>159.5</v>
      </c>
      <c r="W62" s="18">
        <v>12.47</v>
      </c>
      <c r="X62" s="18">
        <v>33.119999999999997</v>
      </c>
      <c r="AC62" s="37"/>
      <c r="AD62" s="30"/>
      <c r="AE62" s="30"/>
      <c r="AK62" s="25"/>
      <c r="AL62" s="26">
        <f t="shared" si="16"/>
        <v>2.1305377071356071E-2</v>
      </c>
      <c r="AM62" s="26">
        <f t="shared" si="19"/>
        <v>1.156069364161842E-2</v>
      </c>
      <c r="AN62" s="26">
        <f t="shared" si="20"/>
        <v>-2.2277227722772276E-2</v>
      </c>
      <c r="AO62" s="26">
        <f t="shared" si="21"/>
        <v>-1.8461538461538463E-2</v>
      </c>
      <c r="AP62" s="26">
        <f t="shared" si="22"/>
        <v>0.13466787989080986</v>
      </c>
      <c r="AQ62" s="26">
        <f t="shared" si="23"/>
        <v>1.2091898428052948E-3</v>
      </c>
      <c r="AS62" s="30"/>
      <c r="AT62" s="39"/>
      <c r="AU62" s="39"/>
      <c r="AV62" s="39"/>
      <c r="AW62" s="39"/>
      <c r="AX62" s="39"/>
      <c r="AY62" s="39"/>
      <c r="AZ62" s="39"/>
      <c r="BA62" s="30"/>
      <c r="BD62" s="30"/>
      <c r="BE62" s="30"/>
      <c r="BF62" s="30"/>
      <c r="BG62" s="21"/>
      <c r="BH62" s="21"/>
      <c r="BI62" s="21"/>
      <c r="BJ62" s="21"/>
      <c r="BK62" s="21"/>
      <c r="BL62" s="21"/>
      <c r="BQ62" s="32"/>
      <c r="BR62" s="30"/>
      <c r="BS62" s="30"/>
      <c r="CB62" s="18"/>
      <c r="CC62" s="19"/>
      <c r="CD62" s="19"/>
      <c r="CE62" s="19"/>
      <c r="CF62" s="19"/>
      <c r="CG62" s="19"/>
      <c r="CH62" s="19"/>
      <c r="CI62" s="20"/>
      <c r="CJ62" s="20"/>
      <c r="CN62" s="18"/>
      <c r="CO62" s="19"/>
      <c r="CP62" s="19"/>
      <c r="CQ62" s="19"/>
      <c r="CR62" s="19"/>
      <c r="CS62" s="19"/>
      <c r="CT62" s="19"/>
      <c r="CU62" s="20"/>
      <c r="CV62" s="20"/>
      <c r="DA62" s="18">
        <f t="shared" si="6"/>
        <v>0</v>
      </c>
      <c r="DB62" s="19">
        <f t="shared" si="7"/>
        <v>0</v>
      </c>
      <c r="DC62" s="19">
        <f t="shared" si="8"/>
        <v>0</v>
      </c>
      <c r="DD62" s="19">
        <f t="shared" si="9"/>
        <v>0</v>
      </c>
      <c r="DE62" s="19">
        <f t="shared" si="10"/>
        <v>0</v>
      </c>
      <c r="DF62" s="19">
        <f t="shared" si="11"/>
        <v>0</v>
      </c>
      <c r="DG62" s="19">
        <f t="shared" si="12"/>
        <v>0</v>
      </c>
      <c r="DH62" s="20">
        <f t="shared" si="13"/>
        <v>0</v>
      </c>
      <c r="DI62" s="20">
        <f t="shared" si="14"/>
        <v>0</v>
      </c>
      <c r="DJ62" s="2"/>
    </row>
    <row r="63" spans="19:114" ht="14.5" x14ac:dyDescent="0.35">
      <c r="S63" s="18">
        <v>30.5</v>
      </c>
      <c r="T63" s="18">
        <v>5.29</v>
      </c>
      <c r="U63" s="18">
        <v>193</v>
      </c>
      <c r="V63" s="18">
        <v>155</v>
      </c>
      <c r="W63" s="18">
        <v>12.3</v>
      </c>
      <c r="X63" s="18">
        <v>29.18</v>
      </c>
      <c r="AC63" s="37"/>
      <c r="AD63" s="30"/>
      <c r="AE63" s="30"/>
      <c r="AK63" s="25"/>
      <c r="AL63" s="26">
        <f t="shared" si="16"/>
        <v>9.9337748344371091E-3</v>
      </c>
      <c r="AM63" s="26">
        <f t="shared" si="19"/>
        <v>7.619047619047626E-3</v>
      </c>
      <c r="AN63" s="26">
        <f t="shared" si="20"/>
        <v>-2.2784810126582278E-2</v>
      </c>
      <c r="AO63" s="26">
        <f t="shared" si="21"/>
        <v>-2.8213166144200628E-2</v>
      </c>
      <c r="AP63" s="26">
        <f t="shared" si="22"/>
        <v>-1.3632718524458694E-2</v>
      </c>
      <c r="AQ63" s="26">
        <f t="shared" si="23"/>
        <v>-0.11896135265700478</v>
      </c>
      <c r="AS63" s="30"/>
      <c r="AT63" s="39"/>
      <c r="AU63" s="39"/>
      <c r="AV63" s="39"/>
      <c r="AW63" s="39"/>
      <c r="AX63" s="39"/>
      <c r="AY63" s="39"/>
      <c r="AZ63" s="39"/>
      <c r="BA63" s="30"/>
      <c r="BD63" s="30"/>
      <c r="BE63" s="30"/>
      <c r="BF63" s="30"/>
      <c r="BG63" s="21"/>
      <c r="BH63" s="21"/>
      <c r="BI63" s="21"/>
      <c r="BJ63" s="21"/>
      <c r="BK63" s="21"/>
      <c r="BL63" s="21"/>
      <c r="BQ63" s="32"/>
      <c r="BR63" s="30"/>
      <c r="BS63" s="30"/>
      <c r="CB63" s="18"/>
      <c r="CC63" s="19"/>
      <c r="CD63" s="19"/>
      <c r="CE63" s="19"/>
      <c r="CF63" s="19"/>
      <c r="CG63" s="19"/>
      <c r="CH63" s="19"/>
      <c r="CI63" s="20"/>
      <c r="CJ63" s="20"/>
      <c r="CN63" s="18"/>
      <c r="CO63" s="19"/>
      <c r="CP63" s="19"/>
      <c r="CQ63" s="19"/>
      <c r="CR63" s="19"/>
      <c r="CS63" s="19"/>
      <c r="CT63" s="19"/>
      <c r="CU63" s="20"/>
      <c r="CV63" s="20"/>
      <c r="DA63" s="18">
        <f t="shared" si="6"/>
        <v>0</v>
      </c>
      <c r="DB63" s="19">
        <f t="shared" si="7"/>
        <v>0</v>
      </c>
      <c r="DC63" s="19">
        <f t="shared" si="8"/>
        <v>0</v>
      </c>
      <c r="DD63" s="19">
        <f t="shared" si="9"/>
        <v>0</v>
      </c>
      <c r="DE63" s="19">
        <f t="shared" si="10"/>
        <v>0</v>
      </c>
      <c r="DF63" s="19">
        <f t="shared" si="11"/>
        <v>0</v>
      </c>
      <c r="DG63" s="19">
        <f t="shared" si="12"/>
        <v>0</v>
      </c>
      <c r="DH63" s="20">
        <f t="shared" si="13"/>
        <v>0</v>
      </c>
      <c r="DI63" s="20">
        <f t="shared" si="14"/>
        <v>0</v>
      </c>
      <c r="DJ63" s="2"/>
    </row>
    <row r="64" spans="19:114" ht="14.5" x14ac:dyDescent="0.35">
      <c r="S64" s="18">
        <v>28.21</v>
      </c>
      <c r="T64" s="18">
        <v>4.99</v>
      </c>
      <c r="U64" s="18">
        <v>198.5</v>
      </c>
      <c r="V64" s="18">
        <v>144.5</v>
      </c>
      <c r="W64" s="18">
        <v>12.36</v>
      </c>
      <c r="X64" s="18">
        <v>29.24</v>
      </c>
      <c r="AC64" s="37"/>
      <c r="AD64" s="30"/>
      <c r="AE64" s="30"/>
      <c r="AK64" s="25"/>
      <c r="AL64" s="26">
        <f t="shared" si="16"/>
        <v>-7.508196721311472E-2</v>
      </c>
      <c r="AM64" s="26">
        <f t="shared" si="19"/>
        <v>-5.6710775047258945E-2</v>
      </c>
      <c r="AN64" s="26">
        <f t="shared" si="20"/>
        <v>2.8497409326424871E-2</v>
      </c>
      <c r="AO64" s="26">
        <f t="shared" si="21"/>
        <v>-6.7741935483870974E-2</v>
      </c>
      <c r="AP64" s="26">
        <f t="shared" si="22"/>
        <v>4.8780487804877008E-3</v>
      </c>
      <c r="AQ64" s="26">
        <f t="shared" si="23"/>
        <v>2.0562028786839863E-3</v>
      </c>
      <c r="AS64" s="30"/>
      <c r="AT64" s="39"/>
      <c r="AU64" s="39"/>
      <c r="AV64" s="39"/>
      <c r="AW64" s="39"/>
      <c r="AX64" s="39"/>
      <c r="AY64" s="39"/>
      <c r="AZ64" s="39"/>
      <c r="BA64" s="30"/>
      <c r="BD64" s="30"/>
      <c r="BE64" s="30"/>
      <c r="BF64" s="30"/>
      <c r="BG64" s="21"/>
      <c r="BH64" s="21"/>
      <c r="BI64" s="21"/>
      <c r="BJ64" s="21"/>
      <c r="BK64" s="21"/>
      <c r="BL64" s="21"/>
      <c r="BQ64" s="32"/>
      <c r="BR64" s="30"/>
      <c r="BS64" s="30"/>
      <c r="CB64" s="18"/>
      <c r="CC64" s="19"/>
      <c r="CD64" s="19"/>
      <c r="CE64" s="19"/>
      <c r="CF64" s="19"/>
      <c r="CG64" s="19"/>
      <c r="CH64" s="19"/>
      <c r="CI64" s="20"/>
      <c r="CJ64" s="20"/>
      <c r="CN64" s="18"/>
      <c r="CO64" s="19"/>
      <c r="CP64" s="19"/>
      <c r="CQ64" s="19"/>
      <c r="CR64" s="19"/>
      <c r="CS64" s="19"/>
      <c r="CT64" s="19"/>
      <c r="CU64" s="20"/>
      <c r="CV64" s="20"/>
      <c r="DA64" s="18">
        <f t="shared" si="6"/>
        <v>0</v>
      </c>
      <c r="DB64" s="19">
        <f t="shared" si="7"/>
        <v>0</v>
      </c>
      <c r="DC64" s="19">
        <f t="shared" si="8"/>
        <v>0</v>
      </c>
      <c r="DD64" s="19">
        <f t="shared" si="9"/>
        <v>0</v>
      </c>
      <c r="DE64" s="19">
        <f t="shared" si="10"/>
        <v>0</v>
      </c>
      <c r="DF64" s="19">
        <f t="shared" si="11"/>
        <v>0</v>
      </c>
      <c r="DG64" s="19">
        <f t="shared" si="12"/>
        <v>0</v>
      </c>
      <c r="DH64" s="20">
        <f t="shared" si="13"/>
        <v>0</v>
      </c>
      <c r="DI64" s="20">
        <f t="shared" si="14"/>
        <v>0</v>
      </c>
      <c r="DJ64" s="2"/>
    </row>
    <row r="65" spans="19:114" ht="14.5" x14ac:dyDescent="0.35">
      <c r="S65" s="18">
        <v>30.95</v>
      </c>
      <c r="T65" s="18">
        <v>4.04</v>
      </c>
      <c r="U65" s="18">
        <v>198</v>
      </c>
      <c r="V65" s="18">
        <v>145</v>
      </c>
      <c r="W65" s="18">
        <v>12.68</v>
      </c>
      <c r="X65" s="18">
        <v>32.22</v>
      </c>
      <c r="AC65" s="37"/>
      <c r="AD65" s="30"/>
      <c r="AE65" s="30"/>
      <c r="AK65" s="25"/>
      <c r="AL65" s="26">
        <f t="shared" si="16"/>
        <v>9.7128677773839003E-2</v>
      </c>
      <c r="AM65" s="26">
        <f t="shared" si="19"/>
        <v>-0.19038076152304612</v>
      </c>
      <c r="AN65" s="26">
        <f t="shared" si="20"/>
        <v>-2.5188916876574307E-3</v>
      </c>
      <c r="AO65" s="26">
        <f t="shared" si="21"/>
        <v>3.4602076124567475E-3</v>
      </c>
      <c r="AP65" s="26">
        <f t="shared" si="22"/>
        <v>2.5889967637540479E-2</v>
      </c>
      <c r="AQ65" s="26">
        <f t="shared" si="23"/>
        <v>0.10191518467852259</v>
      </c>
      <c r="AS65" s="30"/>
      <c r="AT65" s="39"/>
      <c r="AU65" s="39"/>
      <c r="AV65" s="39"/>
      <c r="AW65" s="39"/>
      <c r="AX65" s="39"/>
      <c r="AY65" s="39"/>
      <c r="AZ65" s="39"/>
      <c r="BA65" s="30"/>
      <c r="BD65" s="30"/>
      <c r="BE65" s="30"/>
      <c r="BF65" s="30"/>
      <c r="BG65" s="21"/>
      <c r="BH65" s="21"/>
      <c r="BI65" s="21"/>
      <c r="BJ65" s="21"/>
      <c r="BK65" s="21"/>
      <c r="BL65" s="21"/>
      <c r="BQ65" s="32"/>
      <c r="BR65" s="30"/>
      <c r="BS65" s="30"/>
      <c r="CB65" s="18"/>
      <c r="CC65" s="19"/>
      <c r="CD65" s="19"/>
      <c r="CE65" s="19"/>
      <c r="CF65" s="19"/>
      <c r="CG65" s="19"/>
      <c r="CH65" s="19"/>
      <c r="CI65" s="20"/>
      <c r="CJ65" s="20"/>
      <c r="CN65" s="18"/>
      <c r="CO65" s="19"/>
      <c r="CP65" s="19"/>
      <c r="CQ65" s="19"/>
      <c r="CR65" s="19"/>
      <c r="CS65" s="19"/>
      <c r="CT65" s="19"/>
      <c r="CU65" s="20"/>
      <c r="CV65" s="20"/>
      <c r="DA65" s="18">
        <f t="shared" si="6"/>
        <v>0</v>
      </c>
      <c r="DB65" s="19">
        <f t="shared" si="7"/>
        <v>0</v>
      </c>
      <c r="DC65" s="19">
        <f t="shared" si="8"/>
        <v>0</v>
      </c>
      <c r="DD65" s="19">
        <f t="shared" si="9"/>
        <v>0</v>
      </c>
      <c r="DE65" s="19">
        <f t="shared" si="10"/>
        <v>0</v>
      </c>
      <c r="DF65" s="19">
        <f t="shared" si="11"/>
        <v>0</v>
      </c>
      <c r="DG65" s="19">
        <f t="shared" si="12"/>
        <v>0</v>
      </c>
      <c r="DH65" s="20">
        <f t="shared" si="13"/>
        <v>0</v>
      </c>
      <c r="DI65" s="20">
        <f t="shared" si="14"/>
        <v>0</v>
      </c>
      <c r="DJ65" s="2"/>
    </row>
    <row r="66" spans="19:114" ht="14.5" x14ac:dyDescent="0.35">
      <c r="S66" s="18">
        <v>32.79</v>
      </c>
      <c r="T66" s="18">
        <v>3.9</v>
      </c>
      <c r="U66" s="18">
        <v>203</v>
      </c>
      <c r="V66" s="18">
        <v>130</v>
      </c>
      <c r="W66" s="18">
        <v>13.52</v>
      </c>
      <c r="X66" s="18">
        <v>32.409999999999997</v>
      </c>
      <c r="AC66" s="37"/>
      <c r="AD66" s="30"/>
      <c r="AE66" s="30"/>
      <c r="AK66" s="25"/>
      <c r="AL66" s="26">
        <f t="shared" si="16"/>
        <v>5.9450726978998385E-2</v>
      </c>
      <c r="AM66" s="26">
        <f t="shared" si="19"/>
        <v>-3.4653465346534684E-2</v>
      </c>
      <c r="AN66" s="26">
        <f t="shared" si="20"/>
        <v>2.5252525252525252E-2</v>
      </c>
      <c r="AO66" s="26">
        <f t="shared" si="21"/>
        <v>-0.10344827586206896</v>
      </c>
      <c r="AP66" s="26">
        <f t="shared" si="22"/>
        <v>6.6246056782334375E-2</v>
      </c>
      <c r="AQ66" s="26">
        <f t="shared" si="23"/>
        <v>5.896958410924821E-3</v>
      </c>
      <c r="AS66" s="30"/>
      <c r="AT66" s="39"/>
      <c r="AU66" s="39"/>
      <c r="AV66" s="39"/>
      <c r="AW66" s="39"/>
      <c r="AX66" s="39"/>
      <c r="AY66" s="39"/>
      <c r="AZ66" s="39"/>
      <c r="BA66" s="30"/>
      <c r="BD66" s="30"/>
      <c r="BE66" s="30"/>
      <c r="BF66" s="30"/>
      <c r="BG66" s="21"/>
      <c r="BH66" s="21"/>
      <c r="BI66" s="21"/>
      <c r="BJ66" s="21"/>
      <c r="BK66" s="21"/>
      <c r="BL66" s="21"/>
      <c r="BQ66" s="32"/>
      <c r="BR66" s="30"/>
      <c r="BS66" s="30"/>
      <c r="CB66" s="18"/>
      <c r="CC66" s="19"/>
      <c r="CD66" s="19"/>
      <c r="CE66" s="19"/>
      <c r="CF66" s="19"/>
      <c r="CG66" s="19"/>
      <c r="CH66" s="19"/>
      <c r="CI66" s="20"/>
      <c r="CJ66" s="20"/>
      <c r="CN66" s="18"/>
      <c r="CO66" s="19"/>
      <c r="CP66" s="19"/>
      <c r="CQ66" s="19"/>
      <c r="CR66" s="19"/>
      <c r="CS66" s="19"/>
      <c r="CT66" s="19"/>
      <c r="CU66" s="20"/>
      <c r="CV66" s="20"/>
      <c r="DA66" s="18">
        <f t="shared" si="6"/>
        <v>0</v>
      </c>
      <c r="DB66" s="19">
        <f t="shared" si="7"/>
        <v>0</v>
      </c>
      <c r="DC66" s="19">
        <f t="shared" si="8"/>
        <v>0</v>
      </c>
      <c r="DD66" s="19">
        <f t="shared" si="9"/>
        <v>0</v>
      </c>
      <c r="DE66" s="19">
        <f t="shared" si="10"/>
        <v>0</v>
      </c>
      <c r="DF66" s="19">
        <f t="shared" si="11"/>
        <v>0</v>
      </c>
      <c r="DG66" s="19">
        <f t="shared" si="12"/>
        <v>0</v>
      </c>
      <c r="DH66" s="20">
        <f t="shared" si="13"/>
        <v>0</v>
      </c>
      <c r="DI66" s="20">
        <f t="shared" si="14"/>
        <v>0</v>
      </c>
      <c r="DJ66" s="2"/>
    </row>
    <row r="67" spans="19:114" x14ac:dyDescent="0.3">
      <c r="S67" s="18">
        <v>33.909999999999997</v>
      </c>
      <c r="T67" s="18">
        <v>3.56</v>
      </c>
      <c r="U67" s="18">
        <v>209</v>
      </c>
      <c r="V67" s="18">
        <v>140</v>
      </c>
      <c r="W67" s="18">
        <v>14.1</v>
      </c>
      <c r="X67" s="18">
        <v>35.46</v>
      </c>
      <c r="AC67" s="37"/>
      <c r="AD67" s="30"/>
      <c r="AE67" s="30"/>
      <c r="AK67" s="25"/>
      <c r="AL67" s="26">
        <f t="shared" si="16"/>
        <v>3.4156755108264637E-2</v>
      </c>
      <c r="AM67" s="26">
        <f t="shared" si="19"/>
        <v>-8.7179487179487147E-2</v>
      </c>
      <c r="AN67" s="26">
        <f t="shared" si="20"/>
        <v>2.9556650246305417E-2</v>
      </c>
      <c r="AO67" s="26">
        <f t="shared" si="21"/>
        <v>7.6923076923076927E-2</v>
      </c>
      <c r="AP67" s="26">
        <f t="shared" si="22"/>
        <v>4.2899408284023673E-2</v>
      </c>
      <c r="AQ67" s="26">
        <f t="shared" si="23"/>
        <v>9.4106757173711961E-2</v>
      </c>
      <c r="AS67" s="30"/>
      <c r="AT67" s="30"/>
      <c r="AU67" s="30"/>
      <c r="AV67" s="30"/>
      <c r="AW67" s="30"/>
      <c r="AX67" s="30"/>
      <c r="AY67" s="30"/>
      <c r="AZ67" s="30"/>
      <c r="BA67" s="30"/>
      <c r="BD67" s="30"/>
      <c r="BE67" s="30"/>
      <c r="BF67" s="30"/>
      <c r="BG67" s="21"/>
      <c r="BH67" s="21"/>
      <c r="BI67" s="21"/>
      <c r="BJ67" s="21"/>
      <c r="BK67" s="21"/>
      <c r="BL67" s="21"/>
      <c r="BQ67" s="32"/>
      <c r="BR67" s="30"/>
      <c r="BS67" s="30"/>
      <c r="CB67" s="18"/>
      <c r="CC67" s="19"/>
      <c r="CD67" s="19"/>
      <c r="CE67" s="19"/>
      <c r="CF67" s="19"/>
      <c r="CG67" s="19"/>
      <c r="CH67" s="19"/>
      <c r="CI67" s="20"/>
      <c r="CJ67" s="20"/>
      <c r="CN67" s="18"/>
      <c r="CO67" s="19"/>
      <c r="CP67" s="19"/>
      <c r="CQ67" s="19"/>
      <c r="CR67" s="19"/>
      <c r="CS67" s="19"/>
      <c r="CT67" s="19"/>
      <c r="CU67" s="20"/>
      <c r="CV67" s="20"/>
      <c r="DA67" s="18">
        <f t="shared" ref="DA67:DA130" si="29">IF($BZ$2=1,CN67,CB67)</f>
        <v>0</v>
      </c>
      <c r="DB67" s="19">
        <f t="shared" ref="DB67:DB130" si="30">IF($BZ$2=1,CO67,CC67)</f>
        <v>0</v>
      </c>
      <c r="DC67" s="19">
        <f t="shared" ref="DC67:DC130" si="31">IF($BZ$2=1,CP67,CD67)</f>
        <v>0</v>
      </c>
      <c r="DD67" s="19">
        <f t="shared" ref="DD67:DD130" si="32">IF($BZ$2=1,CQ67,CE67)</f>
        <v>0</v>
      </c>
      <c r="DE67" s="19">
        <f t="shared" ref="DE67:DE130" si="33">IF($BZ$2=1,CR67,CF67)</f>
        <v>0</v>
      </c>
      <c r="DF67" s="19">
        <f t="shared" ref="DF67:DF130" si="34">IF($BZ$2=1,CS67,CG67)</f>
        <v>0</v>
      </c>
      <c r="DG67" s="19">
        <f t="shared" ref="DG67:DG130" si="35">IF($BZ$2=1,CT67,CH67)</f>
        <v>0</v>
      </c>
      <c r="DH67" s="20">
        <f t="shared" ref="DH67:DH130" si="36">IF($BZ$2=1,CU67,CI67)</f>
        <v>0</v>
      </c>
      <c r="DI67" s="20">
        <f t="shared" ref="DI67:DI130" si="37">IF($BZ$2=1,CV67,CJ67)</f>
        <v>0</v>
      </c>
      <c r="DJ67" s="2"/>
    </row>
    <row r="68" spans="19:114" x14ac:dyDescent="0.3">
      <c r="S68" s="18">
        <v>34.86</v>
      </c>
      <c r="T68" s="18">
        <v>3.4</v>
      </c>
      <c r="U68" s="18">
        <v>192</v>
      </c>
      <c r="V68" s="18">
        <v>139.5</v>
      </c>
      <c r="W68" s="18">
        <v>14.09</v>
      </c>
      <c r="X68" s="18">
        <v>36.14</v>
      </c>
      <c r="AC68" s="37"/>
      <c r="AD68" s="30"/>
      <c r="AE68" s="30"/>
      <c r="AK68" s="25"/>
      <c r="AL68" s="26">
        <f t="shared" ref="AL68:AL73" si="38">(S68-S67)/S67</f>
        <v>2.8015334709525299E-2</v>
      </c>
      <c r="AM68" s="26">
        <f t="shared" si="19"/>
        <v>-4.4943820224719142E-2</v>
      </c>
      <c r="AN68" s="26">
        <f t="shared" si="20"/>
        <v>-8.1339712918660281E-2</v>
      </c>
      <c r="AO68" s="26">
        <f t="shared" si="21"/>
        <v>-3.5714285714285713E-3</v>
      </c>
      <c r="AP68" s="26">
        <f t="shared" si="22"/>
        <v>-7.0921985815601324E-4</v>
      </c>
      <c r="AQ68" s="26">
        <f t="shared" si="23"/>
        <v>1.9176536943034398E-2</v>
      </c>
      <c r="AS68" s="30"/>
      <c r="AT68" s="30"/>
      <c r="AU68" s="30"/>
      <c r="AV68" s="30"/>
      <c r="AW68" s="30"/>
      <c r="AX68" s="30"/>
      <c r="AY68" s="30"/>
      <c r="AZ68" s="30"/>
      <c r="BA68" s="30"/>
      <c r="BD68" s="30"/>
      <c r="BE68" s="30"/>
      <c r="BF68" s="30"/>
      <c r="BG68" s="21"/>
      <c r="BH68" s="21"/>
      <c r="BI68" s="21"/>
      <c r="BJ68" s="21"/>
      <c r="BK68" s="21"/>
      <c r="BL68" s="21"/>
      <c r="BQ68" s="32"/>
      <c r="BR68" s="30"/>
      <c r="BS68" s="30"/>
      <c r="CB68" s="18"/>
      <c r="CC68" s="19"/>
      <c r="CD68" s="19"/>
      <c r="CE68" s="19"/>
      <c r="CF68" s="19"/>
      <c r="CG68" s="19"/>
      <c r="CH68" s="19"/>
      <c r="CI68" s="20"/>
      <c r="CJ68" s="20"/>
      <c r="CN68" s="18"/>
      <c r="CO68" s="19"/>
      <c r="CP68" s="19"/>
      <c r="CQ68" s="19"/>
      <c r="CR68" s="19"/>
      <c r="CS68" s="19"/>
      <c r="CT68" s="19"/>
      <c r="CU68" s="20"/>
      <c r="CV68" s="20"/>
      <c r="DA68" s="18">
        <f t="shared" si="29"/>
        <v>0</v>
      </c>
      <c r="DB68" s="19">
        <f t="shared" si="30"/>
        <v>0</v>
      </c>
      <c r="DC68" s="19">
        <f t="shared" si="31"/>
        <v>0</v>
      </c>
      <c r="DD68" s="19">
        <f t="shared" si="32"/>
        <v>0</v>
      </c>
      <c r="DE68" s="19">
        <f t="shared" si="33"/>
        <v>0</v>
      </c>
      <c r="DF68" s="19">
        <f t="shared" si="34"/>
        <v>0</v>
      </c>
      <c r="DG68" s="19">
        <f t="shared" si="35"/>
        <v>0</v>
      </c>
      <c r="DH68" s="20">
        <f t="shared" si="36"/>
        <v>0</v>
      </c>
      <c r="DI68" s="20">
        <f t="shared" si="37"/>
        <v>0</v>
      </c>
      <c r="DJ68" s="2"/>
    </row>
    <row r="69" spans="19:114" x14ac:dyDescent="0.3">
      <c r="S69" s="18">
        <v>33.21</v>
      </c>
      <c r="T69" s="18">
        <v>3.34</v>
      </c>
      <c r="U69" s="18">
        <v>185</v>
      </c>
      <c r="V69" s="18">
        <v>144</v>
      </c>
      <c r="W69" s="18">
        <v>15.48</v>
      </c>
      <c r="X69" s="18">
        <v>36.869999999999997</v>
      </c>
      <c r="AC69" s="37"/>
      <c r="AD69" s="30"/>
      <c r="AE69" s="30"/>
      <c r="AK69" s="25"/>
      <c r="AL69" s="26">
        <f t="shared" si="38"/>
        <v>-4.7332185886402714E-2</v>
      </c>
      <c r="AM69" s="26">
        <f t="shared" si="19"/>
        <v>-1.7647058823529429E-2</v>
      </c>
      <c r="AN69" s="26">
        <f t="shared" si="20"/>
        <v>-3.6458333333333336E-2</v>
      </c>
      <c r="AO69" s="26">
        <f t="shared" si="21"/>
        <v>3.2258064516129031E-2</v>
      </c>
      <c r="AP69" s="26">
        <f t="shared" si="22"/>
        <v>9.8651525904897133E-2</v>
      </c>
      <c r="AQ69" s="26">
        <f t="shared" si="23"/>
        <v>2.0199225235196371E-2</v>
      </c>
      <c r="AS69" s="30"/>
      <c r="AT69" s="30"/>
      <c r="AU69" s="30"/>
      <c r="AV69" s="30"/>
      <c r="AW69" s="30"/>
      <c r="AX69" s="30"/>
      <c r="AY69" s="30"/>
      <c r="AZ69" s="30"/>
      <c r="BA69" s="30"/>
      <c r="BD69" s="30"/>
      <c r="BE69" s="30"/>
      <c r="BF69" s="30"/>
      <c r="BG69" s="21"/>
      <c r="BH69" s="21"/>
      <c r="BI69" s="21"/>
      <c r="BJ69" s="21"/>
      <c r="BK69" s="21"/>
      <c r="BL69" s="21"/>
      <c r="BQ69" s="32"/>
      <c r="BR69" s="30"/>
      <c r="BS69" s="30"/>
      <c r="CB69" s="18"/>
      <c r="CC69" s="19"/>
      <c r="CD69" s="19"/>
      <c r="CE69" s="19"/>
      <c r="CF69" s="19"/>
      <c r="CG69" s="19"/>
      <c r="CH69" s="19"/>
      <c r="CI69" s="20"/>
      <c r="CJ69" s="20"/>
      <c r="CN69" s="18"/>
      <c r="CO69" s="19"/>
      <c r="CP69" s="19"/>
      <c r="CQ69" s="19"/>
      <c r="CR69" s="19"/>
      <c r="CS69" s="19"/>
      <c r="CT69" s="19"/>
      <c r="CU69" s="20"/>
      <c r="CV69" s="20"/>
      <c r="DA69" s="18">
        <f t="shared" si="29"/>
        <v>0</v>
      </c>
      <c r="DB69" s="19">
        <f t="shared" si="30"/>
        <v>0</v>
      </c>
      <c r="DC69" s="19">
        <f t="shared" si="31"/>
        <v>0</v>
      </c>
      <c r="DD69" s="19">
        <f t="shared" si="32"/>
        <v>0</v>
      </c>
      <c r="DE69" s="19">
        <f t="shared" si="33"/>
        <v>0</v>
      </c>
      <c r="DF69" s="19">
        <f t="shared" si="34"/>
        <v>0</v>
      </c>
      <c r="DG69" s="19">
        <f t="shared" si="35"/>
        <v>0</v>
      </c>
      <c r="DH69" s="20">
        <f t="shared" si="36"/>
        <v>0</v>
      </c>
      <c r="DI69" s="20">
        <f t="shared" si="37"/>
        <v>0</v>
      </c>
      <c r="DJ69" s="2"/>
    </row>
    <row r="70" spans="19:114" x14ac:dyDescent="0.3">
      <c r="S70" s="18">
        <v>34.630000000000003</v>
      </c>
      <c r="T70" s="18">
        <v>3.19</v>
      </c>
      <c r="U70" s="18">
        <v>186.5</v>
      </c>
      <c r="V70" s="18">
        <v>134</v>
      </c>
      <c r="W70" s="18">
        <v>15.87</v>
      </c>
      <c r="X70" s="18">
        <v>38.58</v>
      </c>
      <c r="AC70" s="37"/>
      <c r="AD70" s="30"/>
      <c r="AE70" s="30"/>
      <c r="AK70" s="25"/>
      <c r="AL70" s="26">
        <f t="shared" si="38"/>
        <v>4.2758205359831429E-2</v>
      </c>
      <c r="AM70" s="26">
        <f t="shared" si="19"/>
        <v>-4.4910179640718535E-2</v>
      </c>
      <c r="AN70" s="26">
        <f t="shared" si="20"/>
        <v>8.1081081081081086E-3</v>
      </c>
      <c r="AO70" s="26">
        <f t="shared" si="21"/>
        <v>-6.9444444444444448E-2</v>
      </c>
      <c r="AP70" s="26">
        <f t="shared" si="22"/>
        <v>2.5193798449612323E-2</v>
      </c>
      <c r="AQ70" s="26">
        <f t="shared" si="23"/>
        <v>4.6379170056956902E-2</v>
      </c>
      <c r="AS70" s="30"/>
      <c r="AT70" s="30"/>
      <c r="AU70" s="30"/>
      <c r="AV70" s="30"/>
      <c r="AW70" s="30"/>
      <c r="AX70" s="30"/>
      <c r="AY70" s="30"/>
      <c r="AZ70" s="30"/>
      <c r="BA70" s="30"/>
      <c r="BD70" s="30"/>
      <c r="BE70" s="30"/>
      <c r="BF70" s="30"/>
      <c r="BG70" s="21"/>
      <c r="BH70" s="21"/>
      <c r="BI70" s="21"/>
      <c r="BJ70" s="21"/>
      <c r="BK70" s="21"/>
      <c r="BL70" s="21"/>
      <c r="BQ70" s="32"/>
      <c r="BR70" s="30"/>
      <c r="BS70" s="30"/>
      <c r="CB70" s="18"/>
      <c r="CC70" s="19"/>
      <c r="CD70" s="19"/>
      <c r="CE70" s="19"/>
      <c r="CF70" s="19"/>
      <c r="CG70" s="19"/>
      <c r="CH70" s="19"/>
      <c r="CI70" s="20"/>
      <c r="CJ70" s="20"/>
      <c r="CN70" s="18"/>
      <c r="CO70" s="19"/>
      <c r="CP70" s="19"/>
      <c r="CQ70" s="19"/>
      <c r="CR70" s="19"/>
      <c r="CS70" s="19"/>
      <c r="CT70" s="19"/>
      <c r="CU70" s="20"/>
      <c r="CV70" s="20"/>
      <c r="DA70" s="18">
        <f t="shared" si="29"/>
        <v>0</v>
      </c>
      <c r="DB70" s="19">
        <f t="shared" si="30"/>
        <v>0</v>
      </c>
      <c r="DC70" s="19">
        <f t="shared" si="31"/>
        <v>0</v>
      </c>
      <c r="DD70" s="19">
        <f t="shared" si="32"/>
        <v>0</v>
      </c>
      <c r="DE70" s="19">
        <f t="shared" si="33"/>
        <v>0</v>
      </c>
      <c r="DF70" s="19">
        <f t="shared" si="34"/>
        <v>0</v>
      </c>
      <c r="DG70" s="19">
        <f t="shared" si="35"/>
        <v>0</v>
      </c>
      <c r="DH70" s="20">
        <f t="shared" si="36"/>
        <v>0</v>
      </c>
      <c r="DI70" s="20">
        <f t="shared" si="37"/>
        <v>0</v>
      </c>
      <c r="DJ70" s="2"/>
    </row>
    <row r="71" spans="19:114" x14ac:dyDescent="0.3">
      <c r="S71" s="18">
        <v>32.21</v>
      </c>
      <c r="T71" s="18">
        <v>2.4700000000000002</v>
      </c>
      <c r="U71" s="18">
        <v>179</v>
      </c>
      <c r="V71" s="18">
        <v>114</v>
      </c>
      <c r="W71" s="18">
        <v>14.8</v>
      </c>
      <c r="X71" s="18">
        <v>34.85</v>
      </c>
      <c r="AC71" s="37"/>
      <c r="AD71" s="30"/>
      <c r="AE71" s="30"/>
      <c r="AK71" s="25"/>
      <c r="AL71" s="26">
        <f t="shared" si="38"/>
        <v>-6.9881605544325778E-2</v>
      </c>
      <c r="AM71" s="26">
        <f t="shared" si="19"/>
        <v>-0.22570532915360494</v>
      </c>
      <c r="AN71" s="26">
        <f t="shared" si="20"/>
        <v>-4.0214477211796246E-2</v>
      </c>
      <c r="AO71" s="26">
        <f t="shared" si="21"/>
        <v>-0.14925373134328357</v>
      </c>
      <c r="AP71" s="26">
        <f t="shared" si="22"/>
        <v>-6.7422810333963357E-2</v>
      </c>
      <c r="AQ71" s="26">
        <f t="shared" si="23"/>
        <v>-9.668221876620002E-2</v>
      </c>
      <c r="AS71" s="30"/>
      <c r="AT71" s="30"/>
      <c r="AU71" s="30"/>
      <c r="AV71" s="30"/>
      <c r="AW71" s="30"/>
      <c r="AX71" s="30"/>
      <c r="AY71" s="30"/>
      <c r="AZ71" s="30"/>
      <c r="BA71" s="30"/>
      <c r="BD71" s="30"/>
      <c r="BE71" s="30"/>
      <c r="BF71" s="30"/>
      <c r="BG71" s="21"/>
      <c r="BH71" s="21"/>
      <c r="BI71" s="21"/>
      <c r="BJ71" s="21"/>
      <c r="BK71" s="21"/>
      <c r="BL71" s="21"/>
      <c r="BQ71" s="32"/>
      <c r="BR71" s="30"/>
      <c r="BS71" s="30"/>
      <c r="CB71" s="18"/>
      <c r="CC71" s="19"/>
      <c r="CD71" s="19"/>
      <c r="CE71" s="19"/>
      <c r="CF71" s="19"/>
      <c r="CG71" s="19"/>
      <c r="CH71" s="19"/>
      <c r="CI71" s="20"/>
      <c r="CJ71" s="20"/>
      <c r="CN71" s="18"/>
      <c r="CO71" s="19"/>
      <c r="CP71" s="19"/>
      <c r="CQ71" s="19"/>
      <c r="CR71" s="19"/>
      <c r="CS71" s="19"/>
      <c r="CT71" s="19"/>
      <c r="CU71" s="20"/>
      <c r="CV71" s="20"/>
      <c r="DA71" s="18">
        <f t="shared" si="29"/>
        <v>0</v>
      </c>
      <c r="DB71" s="19">
        <f t="shared" si="30"/>
        <v>0</v>
      </c>
      <c r="DC71" s="19">
        <f t="shared" si="31"/>
        <v>0</v>
      </c>
      <c r="DD71" s="19">
        <f t="shared" si="32"/>
        <v>0</v>
      </c>
      <c r="DE71" s="19">
        <f t="shared" si="33"/>
        <v>0</v>
      </c>
      <c r="DF71" s="19">
        <f t="shared" si="34"/>
        <v>0</v>
      </c>
      <c r="DG71" s="19">
        <f t="shared" si="35"/>
        <v>0</v>
      </c>
      <c r="DH71" s="20">
        <f t="shared" si="36"/>
        <v>0</v>
      </c>
      <c r="DI71" s="20">
        <f t="shared" si="37"/>
        <v>0</v>
      </c>
      <c r="DJ71" s="2"/>
    </row>
    <row r="72" spans="19:114" x14ac:dyDescent="0.3">
      <c r="S72" s="18">
        <v>30.69</v>
      </c>
      <c r="T72" s="18">
        <v>2.4300000000000002</v>
      </c>
      <c r="U72" s="18">
        <v>180</v>
      </c>
      <c r="V72" s="18">
        <v>108</v>
      </c>
      <c r="W72" s="18">
        <v>14.99</v>
      </c>
      <c r="X72" s="18">
        <v>31.06</v>
      </c>
      <c r="AC72" s="37"/>
      <c r="AD72" s="30"/>
      <c r="AE72" s="30"/>
      <c r="AK72" s="25"/>
      <c r="AL72" s="26">
        <f t="shared" si="38"/>
        <v>-4.7190313567215134E-2</v>
      </c>
      <c r="AM72" s="26">
        <f t="shared" si="19"/>
        <v>-1.6194331983805682E-2</v>
      </c>
      <c r="AN72" s="26">
        <f t="shared" si="20"/>
        <v>5.5865921787709499E-3</v>
      </c>
      <c r="AO72" s="26">
        <f t="shared" si="21"/>
        <v>-5.2631578947368418E-2</v>
      </c>
      <c r="AP72" s="26">
        <f t="shared" si="22"/>
        <v>1.2837837837837804E-2</v>
      </c>
      <c r="AQ72" s="26">
        <f t="shared" si="23"/>
        <v>-0.10875179340028701</v>
      </c>
      <c r="AS72" s="30"/>
      <c r="AT72" s="30"/>
      <c r="AU72" s="30"/>
      <c r="AV72" s="30"/>
      <c r="AW72" s="30"/>
      <c r="AX72" s="30"/>
      <c r="AY72" s="30"/>
      <c r="AZ72" s="30"/>
      <c r="BA72" s="30"/>
      <c r="BD72" s="30"/>
      <c r="BE72" s="30"/>
      <c r="BF72" s="30"/>
      <c r="BG72" s="21"/>
      <c r="BH72" s="21"/>
      <c r="BI72" s="21"/>
      <c r="BJ72" s="21"/>
      <c r="BK72" s="21"/>
      <c r="BL72" s="21"/>
      <c r="BQ72" s="32"/>
      <c r="BR72" s="30"/>
      <c r="BS72" s="30"/>
      <c r="CB72" s="18"/>
      <c r="CC72" s="19"/>
      <c r="CD72" s="19"/>
      <c r="CE72" s="19"/>
      <c r="CF72" s="19"/>
      <c r="CG72" s="19"/>
      <c r="CH72" s="19"/>
      <c r="CI72" s="20"/>
      <c r="CJ72" s="20"/>
      <c r="CN72" s="18"/>
      <c r="CO72" s="19"/>
      <c r="CP72" s="19"/>
      <c r="CQ72" s="19"/>
      <c r="CR72" s="19"/>
      <c r="CS72" s="19"/>
      <c r="CT72" s="19"/>
      <c r="CU72" s="20"/>
      <c r="CV72" s="20"/>
      <c r="DA72" s="18">
        <f t="shared" si="29"/>
        <v>0</v>
      </c>
      <c r="DB72" s="19">
        <f t="shared" si="30"/>
        <v>0</v>
      </c>
      <c r="DC72" s="19">
        <f t="shared" si="31"/>
        <v>0</v>
      </c>
      <c r="DD72" s="19">
        <f t="shared" si="32"/>
        <v>0</v>
      </c>
      <c r="DE72" s="19">
        <f t="shared" si="33"/>
        <v>0</v>
      </c>
      <c r="DF72" s="19">
        <f t="shared" si="34"/>
        <v>0</v>
      </c>
      <c r="DG72" s="19">
        <f t="shared" si="35"/>
        <v>0</v>
      </c>
      <c r="DH72" s="20">
        <f t="shared" si="36"/>
        <v>0</v>
      </c>
      <c r="DI72" s="20">
        <f t="shared" si="37"/>
        <v>0</v>
      </c>
      <c r="DJ72" s="2"/>
    </row>
    <row r="73" spans="19:114" x14ac:dyDescent="0.3">
      <c r="S73" s="18">
        <v>34.229999999999997</v>
      </c>
      <c r="T73" s="18">
        <v>2.4500000000000002</v>
      </c>
      <c r="U73" s="18">
        <v>175.5</v>
      </c>
      <c r="V73" s="18">
        <v>103.5</v>
      </c>
      <c r="W73" s="18">
        <v>15.92</v>
      </c>
      <c r="X73" s="18">
        <v>31.32</v>
      </c>
      <c r="AC73" s="37"/>
      <c r="AD73" s="30"/>
      <c r="AE73" s="30"/>
      <c r="AK73" s="25"/>
      <c r="AL73" s="26">
        <f t="shared" si="38"/>
        <v>0.11534701857282488</v>
      </c>
      <c r="AM73" s="26">
        <f t="shared" si="19"/>
        <v>8.2304526748971252E-3</v>
      </c>
      <c r="AN73" s="26">
        <f t="shared" si="20"/>
        <v>-2.5000000000000001E-2</v>
      </c>
      <c r="AO73" s="26">
        <f t="shared" si="21"/>
        <v>-4.1666666666666664E-2</v>
      </c>
      <c r="AP73" s="26">
        <f t="shared" si="22"/>
        <v>6.2041360907271498E-2</v>
      </c>
      <c r="AQ73" s="26">
        <f t="shared" si="23"/>
        <v>8.3708950418545265E-3</v>
      </c>
      <c r="AS73" s="30"/>
      <c r="AT73" s="30"/>
      <c r="AU73" s="30"/>
      <c r="AV73" s="21"/>
      <c r="AW73" s="21"/>
      <c r="AX73" s="21"/>
      <c r="AY73" s="21"/>
      <c r="AZ73" s="21"/>
      <c r="BA73" s="21"/>
      <c r="BD73" s="30"/>
      <c r="BE73" s="30"/>
      <c r="BF73" s="30"/>
      <c r="BG73" s="21"/>
      <c r="BH73" s="21"/>
      <c r="BI73" s="21"/>
      <c r="BJ73" s="21"/>
      <c r="BK73" s="21"/>
      <c r="BL73" s="21"/>
      <c r="BQ73" s="32"/>
      <c r="BR73" s="30"/>
      <c r="BS73" s="30"/>
      <c r="CB73" s="18"/>
      <c r="CC73" s="19"/>
      <c r="CD73" s="19"/>
      <c r="CE73" s="19"/>
      <c r="CF73" s="19"/>
      <c r="CG73" s="19"/>
      <c r="CH73" s="19"/>
      <c r="CI73" s="20"/>
      <c r="CJ73" s="20"/>
      <c r="CN73" s="18"/>
      <c r="CO73" s="19"/>
      <c r="CP73" s="19"/>
      <c r="CQ73" s="19"/>
      <c r="CR73" s="19"/>
      <c r="CS73" s="19"/>
      <c r="CT73" s="19"/>
      <c r="CU73" s="20"/>
      <c r="CV73" s="20"/>
      <c r="DA73" s="18">
        <f t="shared" si="29"/>
        <v>0</v>
      </c>
      <c r="DB73" s="19">
        <f t="shared" si="30"/>
        <v>0</v>
      </c>
      <c r="DC73" s="19">
        <f t="shared" si="31"/>
        <v>0</v>
      </c>
      <c r="DD73" s="19">
        <f t="shared" si="32"/>
        <v>0</v>
      </c>
      <c r="DE73" s="19">
        <f t="shared" si="33"/>
        <v>0</v>
      </c>
      <c r="DF73" s="19">
        <f t="shared" si="34"/>
        <v>0</v>
      </c>
      <c r="DG73" s="19">
        <f t="shared" si="35"/>
        <v>0</v>
      </c>
      <c r="DH73" s="20">
        <f t="shared" si="36"/>
        <v>0</v>
      </c>
      <c r="DI73" s="20">
        <f t="shared" si="37"/>
        <v>0</v>
      </c>
      <c r="DJ73" s="2"/>
    </row>
    <row r="74" spans="19:114" x14ac:dyDescent="0.3">
      <c r="AC74" s="37"/>
      <c r="AD74" s="30"/>
      <c r="AE74" s="30"/>
      <c r="AS74" s="30"/>
      <c r="AT74" s="30"/>
      <c r="AU74" s="30"/>
      <c r="AV74" s="21"/>
      <c r="AW74" s="21"/>
      <c r="AX74" s="21"/>
      <c r="AY74" s="21"/>
      <c r="AZ74" s="21"/>
      <c r="BA74" s="21"/>
      <c r="BD74" s="30"/>
      <c r="BE74" s="30"/>
      <c r="BF74" s="30"/>
      <c r="BG74" s="21"/>
      <c r="BH74" s="21"/>
      <c r="BI74" s="21"/>
      <c r="BJ74" s="21"/>
      <c r="BK74" s="21"/>
      <c r="BL74" s="21"/>
      <c r="BQ74" s="32"/>
      <c r="BR74" s="30"/>
      <c r="BS74" s="30"/>
      <c r="CB74" s="18"/>
      <c r="CC74" s="19"/>
      <c r="CD74" s="19"/>
      <c r="CE74" s="19"/>
      <c r="CF74" s="19"/>
      <c r="CG74" s="19"/>
      <c r="CH74" s="19"/>
      <c r="CI74" s="20"/>
      <c r="CJ74" s="20"/>
      <c r="CN74" s="18"/>
      <c r="CO74" s="19"/>
      <c r="CP74" s="19"/>
      <c r="CQ74" s="19"/>
      <c r="CR74" s="19"/>
      <c r="CS74" s="19"/>
      <c r="CT74" s="19"/>
      <c r="CU74" s="20"/>
      <c r="CV74" s="20"/>
      <c r="DA74" s="18">
        <f t="shared" si="29"/>
        <v>0</v>
      </c>
      <c r="DB74" s="19">
        <f t="shared" si="30"/>
        <v>0</v>
      </c>
      <c r="DC74" s="19">
        <f t="shared" si="31"/>
        <v>0</v>
      </c>
      <c r="DD74" s="19">
        <f t="shared" si="32"/>
        <v>0</v>
      </c>
      <c r="DE74" s="19">
        <f t="shared" si="33"/>
        <v>0</v>
      </c>
      <c r="DF74" s="19">
        <f t="shared" si="34"/>
        <v>0</v>
      </c>
      <c r="DG74" s="19">
        <f t="shared" si="35"/>
        <v>0</v>
      </c>
      <c r="DH74" s="20">
        <f t="shared" si="36"/>
        <v>0</v>
      </c>
      <c r="DI74" s="20">
        <f t="shared" si="37"/>
        <v>0</v>
      </c>
      <c r="DJ74" s="2"/>
    </row>
    <row r="75" spans="19:114" ht="14.5" thickBot="1" x14ac:dyDescent="0.35">
      <c r="AC75" s="37"/>
      <c r="AD75" s="30"/>
      <c r="AE75" s="30"/>
      <c r="AK75" s="30"/>
      <c r="AL75" s="40">
        <f>AVERAGE(AL2:AL73)</f>
        <v>1.3251788649110098E-3</v>
      </c>
      <c r="AM75" s="40">
        <f t="shared" ref="AM75:AQ75" si="39">AVERAGE(AM2:AM73)</f>
        <v>-8.2108319087743856E-3</v>
      </c>
      <c r="AN75" s="40">
        <f t="shared" si="39"/>
        <v>6.05386938028639E-3</v>
      </c>
      <c r="AO75" s="40">
        <f t="shared" si="39"/>
        <v>1.3898405377629489E-2</v>
      </c>
      <c r="AP75" s="40">
        <f t="shared" si="39"/>
        <v>2.0562007325458258E-2</v>
      </c>
      <c r="AQ75" s="40">
        <f t="shared" si="39"/>
        <v>-3.8439482970321589E-4</v>
      </c>
      <c r="AS75" s="30"/>
      <c r="AT75" s="30"/>
      <c r="AU75" s="30"/>
      <c r="AV75" s="21"/>
      <c r="AW75" s="21"/>
      <c r="AX75" s="21"/>
      <c r="AY75" s="21"/>
      <c r="AZ75" s="21"/>
      <c r="BA75" s="21"/>
      <c r="BD75" s="30"/>
      <c r="BE75" s="30"/>
      <c r="BF75" s="30"/>
      <c r="BG75" s="21"/>
      <c r="BH75" s="21"/>
      <c r="BI75" s="21"/>
      <c r="BJ75" s="21"/>
      <c r="BK75" s="21"/>
      <c r="BL75" s="21"/>
      <c r="BQ75" s="32"/>
      <c r="BR75" s="30"/>
      <c r="BS75" s="30"/>
      <c r="CB75" s="18"/>
      <c r="CC75" s="19"/>
      <c r="CD75" s="19"/>
      <c r="CE75" s="19"/>
      <c r="CF75" s="19"/>
      <c r="CG75" s="19"/>
      <c r="CH75" s="19"/>
      <c r="CI75" s="20"/>
      <c r="CJ75" s="20"/>
      <c r="CN75" s="18"/>
      <c r="CO75" s="19"/>
      <c r="CP75" s="19"/>
      <c r="CQ75" s="19"/>
      <c r="CR75" s="19"/>
      <c r="CS75" s="19"/>
      <c r="CT75" s="19"/>
      <c r="CU75" s="20"/>
      <c r="CV75" s="20"/>
      <c r="DA75" s="18">
        <f t="shared" si="29"/>
        <v>0</v>
      </c>
      <c r="DB75" s="19">
        <f t="shared" si="30"/>
        <v>0</v>
      </c>
      <c r="DC75" s="19">
        <f t="shared" si="31"/>
        <v>0</v>
      </c>
      <c r="DD75" s="19">
        <f t="shared" si="32"/>
        <v>0</v>
      </c>
      <c r="DE75" s="19">
        <f t="shared" si="33"/>
        <v>0</v>
      </c>
      <c r="DF75" s="19">
        <f t="shared" si="34"/>
        <v>0</v>
      </c>
      <c r="DG75" s="19">
        <f t="shared" si="35"/>
        <v>0</v>
      </c>
      <c r="DH75" s="20">
        <f t="shared" si="36"/>
        <v>0</v>
      </c>
      <c r="DI75" s="20">
        <f t="shared" si="37"/>
        <v>0</v>
      </c>
      <c r="DJ75" s="2"/>
    </row>
    <row r="76" spans="19:114" ht="14.5" thickTop="1" x14ac:dyDescent="0.3">
      <c r="AC76" s="37"/>
      <c r="AD76" s="30"/>
      <c r="AE76" s="30"/>
      <c r="AS76" s="30"/>
      <c r="AT76" s="30"/>
      <c r="AU76" s="30"/>
      <c r="AV76" s="21"/>
      <c r="AW76" s="21"/>
      <c r="AX76" s="21"/>
      <c r="AY76" s="21"/>
      <c r="AZ76" s="21"/>
      <c r="BA76" s="21"/>
      <c r="BD76" s="30"/>
      <c r="BE76" s="30"/>
      <c r="BF76" s="30"/>
      <c r="BG76" s="21"/>
      <c r="BH76" s="21"/>
      <c r="BI76" s="21"/>
      <c r="BJ76" s="21"/>
      <c r="BK76" s="21"/>
      <c r="BL76" s="21"/>
      <c r="BQ76" s="32"/>
      <c r="BR76" s="30"/>
      <c r="BS76" s="30"/>
      <c r="CB76" s="18"/>
      <c r="CC76" s="19"/>
      <c r="CD76" s="19"/>
      <c r="CE76" s="19"/>
      <c r="CF76" s="19"/>
      <c r="CG76" s="19"/>
      <c r="CH76" s="19"/>
      <c r="CI76" s="20"/>
      <c r="CJ76" s="20"/>
      <c r="CN76" s="18"/>
      <c r="CO76" s="19"/>
      <c r="CP76" s="19"/>
      <c r="CQ76" s="19"/>
      <c r="CR76" s="19"/>
      <c r="CS76" s="19"/>
      <c r="CT76" s="19"/>
      <c r="CU76" s="20"/>
      <c r="CV76" s="20"/>
      <c r="DA76" s="18">
        <f t="shared" si="29"/>
        <v>0</v>
      </c>
      <c r="DB76" s="19">
        <f t="shared" si="30"/>
        <v>0</v>
      </c>
      <c r="DC76" s="19">
        <f t="shared" si="31"/>
        <v>0</v>
      </c>
      <c r="DD76" s="19">
        <f t="shared" si="32"/>
        <v>0</v>
      </c>
      <c r="DE76" s="19">
        <f t="shared" si="33"/>
        <v>0</v>
      </c>
      <c r="DF76" s="19">
        <f t="shared" si="34"/>
        <v>0</v>
      </c>
      <c r="DG76" s="19">
        <f t="shared" si="35"/>
        <v>0</v>
      </c>
      <c r="DH76" s="20">
        <f t="shared" si="36"/>
        <v>0</v>
      </c>
      <c r="DI76" s="20">
        <f t="shared" si="37"/>
        <v>0</v>
      </c>
      <c r="DJ76" s="2"/>
    </row>
    <row r="77" spans="19:114" x14ac:dyDescent="0.3">
      <c r="AC77" s="37"/>
      <c r="AD77" s="30"/>
      <c r="AE77" s="30"/>
      <c r="AL77" s="32"/>
      <c r="AM77" s="32"/>
      <c r="AN77" s="32"/>
      <c r="AO77" s="32"/>
      <c r="AP77" s="32"/>
      <c r="AQ77" s="32"/>
      <c r="AS77" s="30"/>
      <c r="AT77" s="30"/>
      <c r="AU77" s="30"/>
      <c r="AV77" s="21"/>
      <c r="AW77" s="21"/>
      <c r="AX77" s="21"/>
      <c r="AY77" s="21"/>
      <c r="AZ77" s="21"/>
      <c r="BA77" s="21"/>
      <c r="BD77" s="30"/>
      <c r="BE77" s="30"/>
      <c r="BF77" s="30"/>
      <c r="BG77" s="21"/>
      <c r="BH77" s="21"/>
      <c r="BI77" s="21"/>
      <c r="BJ77" s="21"/>
      <c r="BK77" s="21"/>
      <c r="BL77" s="21"/>
      <c r="BQ77" s="32"/>
      <c r="BR77" s="30"/>
      <c r="BS77" s="30"/>
      <c r="CB77" s="18"/>
      <c r="CC77" s="19"/>
      <c r="CD77" s="19"/>
      <c r="CE77" s="19"/>
      <c r="CF77" s="19"/>
      <c r="CG77" s="19"/>
      <c r="CH77" s="19"/>
      <c r="CI77" s="20"/>
      <c r="CJ77" s="20"/>
      <c r="CN77" s="18"/>
      <c r="CO77" s="19"/>
      <c r="CP77" s="19"/>
      <c r="CQ77" s="19"/>
      <c r="CR77" s="19"/>
      <c r="CS77" s="19"/>
      <c r="CT77" s="19"/>
      <c r="CU77" s="20"/>
      <c r="CV77" s="20"/>
      <c r="DA77" s="18">
        <f t="shared" si="29"/>
        <v>0</v>
      </c>
      <c r="DB77" s="19">
        <f t="shared" si="30"/>
        <v>0</v>
      </c>
      <c r="DC77" s="19">
        <f t="shared" si="31"/>
        <v>0</v>
      </c>
      <c r="DD77" s="19">
        <f t="shared" si="32"/>
        <v>0</v>
      </c>
      <c r="DE77" s="19">
        <f t="shared" si="33"/>
        <v>0</v>
      </c>
      <c r="DF77" s="19">
        <f t="shared" si="34"/>
        <v>0</v>
      </c>
      <c r="DG77" s="19">
        <f t="shared" si="35"/>
        <v>0</v>
      </c>
      <c r="DH77" s="20">
        <f t="shared" si="36"/>
        <v>0</v>
      </c>
      <c r="DI77" s="20">
        <f t="shared" si="37"/>
        <v>0</v>
      </c>
      <c r="DJ77" s="2"/>
    </row>
    <row r="78" spans="19:114" x14ac:dyDescent="0.3">
      <c r="AC78" s="37"/>
      <c r="AD78" s="30"/>
      <c r="AE78" s="30"/>
      <c r="AS78" s="30"/>
      <c r="AT78" s="30"/>
      <c r="AU78" s="30"/>
      <c r="AV78" s="21"/>
      <c r="AW78" s="21"/>
      <c r="AX78" s="21"/>
      <c r="AY78" s="21"/>
      <c r="AZ78" s="21"/>
      <c r="BA78" s="21"/>
      <c r="BD78" s="30"/>
      <c r="BE78" s="30"/>
      <c r="BF78" s="30"/>
      <c r="BG78" s="21"/>
      <c r="BH78" s="21"/>
      <c r="BI78" s="21"/>
      <c r="BJ78" s="21"/>
      <c r="BK78" s="21"/>
      <c r="BL78" s="21"/>
      <c r="BQ78" s="32"/>
      <c r="BR78" s="30"/>
      <c r="BS78" s="30"/>
      <c r="CB78" s="18"/>
      <c r="CC78" s="19"/>
      <c r="CD78" s="19"/>
      <c r="CE78" s="19"/>
      <c r="CF78" s="19"/>
      <c r="CG78" s="19"/>
      <c r="CH78" s="19"/>
      <c r="CI78" s="20"/>
      <c r="CJ78" s="20"/>
      <c r="CN78" s="18"/>
      <c r="CO78" s="19"/>
      <c r="CP78" s="19"/>
      <c r="CQ78" s="19"/>
      <c r="CR78" s="19"/>
      <c r="CS78" s="19"/>
      <c r="CT78" s="19"/>
      <c r="CU78" s="20"/>
      <c r="CV78" s="20"/>
      <c r="DA78" s="18">
        <f t="shared" si="29"/>
        <v>0</v>
      </c>
      <c r="DB78" s="19">
        <f t="shared" si="30"/>
        <v>0</v>
      </c>
      <c r="DC78" s="19">
        <f t="shared" si="31"/>
        <v>0</v>
      </c>
      <c r="DD78" s="19">
        <f t="shared" si="32"/>
        <v>0</v>
      </c>
      <c r="DE78" s="19">
        <f t="shared" si="33"/>
        <v>0</v>
      </c>
      <c r="DF78" s="19">
        <f t="shared" si="34"/>
        <v>0</v>
      </c>
      <c r="DG78" s="19">
        <f t="shared" si="35"/>
        <v>0</v>
      </c>
      <c r="DH78" s="20">
        <f t="shared" si="36"/>
        <v>0</v>
      </c>
      <c r="DI78" s="20">
        <f t="shared" si="37"/>
        <v>0</v>
      </c>
      <c r="DJ78" s="2"/>
    </row>
    <row r="79" spans="19:114" x14ac:dyDescent="0.3">
      <c r="AC79" s="37"/>
      <c r="AD79" s="30"/>
      <c r="AE79" s="30"/>
      <c r="AS79" s="30"/>
      <c r="AT79" s="30"/>
      <c r="AU79" s="30"/>
      <c r="AV79" s="21"/>
      <c r="AW79" s="21"/>
      <c r="AX79" s="21"/>
      <c r="AY79" s="21"/>
      <c r="AZ79" s="21"/>
      <c r="BA79" s="21"/>
      <c r="BD79" s="30"/>
      <c r="BE79" s="30"/>
      <c r="BF79" s="30"/>
      <c r="BG79" s="21"/>
      <c r="BH79" s="21"/>
      <c r="BI79" s="21"/>
      <c r="BJ79" s="21"/>
      <c r="BK79" s="21"/>
      <c r="BL79" s="21"/>
      <c r="BQ79" s="32"/>
      <c r="BR79" s="30"/>
      <c r="BS79" s="30"/>
      <c r="CB79" s="18"/>
      <c r="CC79" s="19"/>
      <c r="CD79" s="19"/>
      <c r="CE79" s="19"/>
      <c r="CF79" s="19"/>
      <c r="CG79" s="19"/>
      <c r="CH79" s="19"/>
      <c r="CI79" s="20"/>
      <c r="CJ79" s="20"/>
      <c r="CN79" s="18"/>
      <c r="CO79" s="19"/>
      <c r="CP79" s="19"/>
      <c r="CQ79" s="19"/>
      <c r="CR79" s="19"/>
      <c r="CS79" s="19"/>
      <c r="CT79" s="19"/>
      <c r="CU79" s="20"/>
      <c r="CV79" s="20"/>
      <c r="DA79" s="18">
        <f t="shared" si="29"/>
        <v>0</v>
      </c>
      <c r="DB79" s="19">
        <f t="shared" si="30"/>
        <v>0</v>
      </c>
      <c r="DC79" s="19">
        <f t="shared" si="31"/>
        <v>0</v>
      </c>
      <c r="DD79" s="19">
        <f t="shared" si="32"/>
        <v>0</v>
      </c>
      <c r="DE79" s="19">
        <f t="shared" si="33"/>
        <v>0</v>
      </c>
      <c r="DF79" s="19">
        <f t="shared" si="34"/>
        <v>0</v>
      </c>
      <c r="DG79" s="19">
        <f t="shared" si="35"/>
        <v>0</v>
      </c>
      <c r="DH79" s="20">
        <f t="shared" si="36"/>
        <v>0</v>
      </c>
      <c r="DI79" s="20">
        <f t="shared" si="37"/>
        <v>0</v>
      </c>
      <c r="DJ79" s="2"/>
    </row>
    <row r="80" spans="19:114" x14ac:dyDescent="0.3">
      <c r="AC80" s="37"/>
      <c r="AD80" s="30"/>
      <c r="AE80" s="30"/>
      <c r="AS80" s="30"/>
      <c r="AT80" s="30"/>
      <c r="AU80" s="30"/>
      <c r="AV80" s="21"/>
      <c r="AW80" s="21"/>
      <c r="AX80" s="21"/>
      <c r="AY80" s="21"/>
      <c r="AZ80" s="21"/>
      <c r="BA80" s="21"/>
      <c r="BD80" s="30"/>
      <c r="BE80" s="30"/>
      <c r="BF80" s="30"/>
      <c r="BG80" s="21"/>
      <c r="BH80" s="21"/>
      <c r="BI80" s="21"/>
      <c r="BJ80" s="21"/>
      <c r="BK80" s="21"/>
      <c r="BL80" s="21"/>
      <c r="BQ80" s="32"/>
      <c r="BR80" s="30"/>
      <c r="BS80" s="30"/>
      <c r="CB80" s="18"/>
      <c r="CC80" s="19"/>
      <c r="CD80" s="19"/>
      <c r="CE80" s="19"/>
      <c r="CF80" s="19"/>
      <c r="CG80" s="19"/>
      <c r="CH80" s="19"/>
      <c r="CI80" s="20"/>
      <c r="CJ80" s="20"/>
      <c r="CN80" s="18"/>
      <c r="CO80" s="19"/>
      <c r="CP80" s="19"/>
      <c r="CQ80" s="19"/>
      <c r="CR80" s="19"/>
      <c r="CS80" s="19"/>
      <c r="CT80" s="19"/>
      <c r="CU80" s="20"/>
      <c r="CV80" s="20"/>
      <c r="DA80" s="18">
        <f t="shared" si="29"/>
        <v>0</v>
      </c>
      <c r="DB80" s="19">
        <f t="shared" si="30"/>
        <v>0</v>
      </c>
      <c r="DC80" s="19">
        <f t="shared" si="31"/>
        <v>0</v>
      </c>
      <c r="DD80" s="19">
        <f t="shared" si="32"/>
        <v>0</v>
      </c>
      <c r="DE80" s="19">
        <f t="shared" si="33"/>
        <v>0</v>
      </c>
      <c r="DF80" s="19">
        <f t="shared" si="34"/>
        <v>0</v>
      </c>
      <c r="DG80" s="19">
        <f t="shared" si="35"/>
        <v>0</v>
      </c>
      <c r="DH80" s="20">
        <f t="shared" si="36"/>
        <v>0</v>
      </c>
      <c r="DI80" s="20">
        <f t="shared" si="37"/>
        <v>0</v>
      </c>
      <c r="DJ80" s="2"/>
    </row>
    <row r="81" spans="29:114" x14ac:dyDescent="0.3">
      <c r="AC81" s="37"/>
      <c r="AD81" s="30"/>
      <c r="AE81" s="30"/>
      <c r="AS81" s="30"/>
      <c r="AT81" s="30"/>
      <c r="AU81" s="30"/>
      <c r="AV81" s="21"/>
      <c r="AW81" s="21"/>
      <c r="AX81" s="21"/>
      <c r="AY81" s="21"/>
      <c r="AZ81" s="21"/>
      <c r="BA81" s="21"/>
      <c r="BD81" s="30"/>
      <c r="BE81" s="30"/>
      <c r="BF81" s="30"/>
      <c r="BG81" s="21"/>
      <c r="BH81" s="21"/>
      <c r="BI81" s="21"/>
      <c r="BJ81" s="21"/>
      <c r="BK81" s="21"/>
      <c r="BL81" s="21"/>
      <c r="BQ81" s="32"/>
      <c r="BR81" s="30"/>
      <c r="BS81" s="30"/>
      <c r="CB81" s="18"/>
      <c r="CC81" s="19"/>
      <c r="CD81" s="19"/>
      <c r="CE81" s="19"/>
      <c r="CF81" s="19"/>
      <c r="CG81" s="19"/>
      <c r="CH81" s="19"/>
      <c r="CI81" s="20"/>
      <c r="CJ81" s="20"/>
      <c r="CN81" s="18"/>
      <c r="CO81" s="19"/>
      <c r="CP81" s="19"/>
      <c r="CQ81" s="19"/>
      <c r="CR81" s="19"/>
      <c r="CS81" s="19"/>
      <c r="CT81" s="19"/>
      <c r="CU81" s="20"/>
      <c r="CV81" s="20"/>
      <c r="DA81" s="18">
        <f t="shared" si="29"/>
        <v>0</v>
      </c>
      <c r="DB81" s="19">
        <f t="shared" si="30"/>
        <v>0</v>
      </c>
      <c r="DC81" s="19">
        <f t="shared" si="31"/>
        <v>0</v>
      </c>
      <c r="DD81" s="19">
        <f t="shared" si="32"/>
        <v>0</v>
      </c>
      <c r="DE81" s="19">
        <f t="shared" si="33"/>
        <v>0</v>
      </c>
      <c r="DF81" s="19">
        <f t="shared" si="34"/>
        <v>0</v>
      </c>
      <c r="DG81" s="19">
        <f t="shared" si="35"/>
        <v>0</v>
      </c>
      <c r="DH81" s="20">
        <f t="shared" si="36"/>
        <v>0</v>
      </c>
      <c r="DI81" s="20">
        <f t="shared" si="37"/>
        <v>0</v>
      </c>
      <c r="DJ81" s="2"/>
    </row>
    <row r="82" spans="29:114" x14ac:dyDescent="0.3">
      <c r="AS82" s="30"/>
      <c r="AT82" s="30"/>
      <c r="AU82" s="30"/>
      <c r="AV82" s="21"/>
      <c r="AW82" s="21"/>
      <c r="AX82" s="21"/>
      <c r="AY82" s="21"/>
      <c r="AZ82" s="21"/>
      <c r="BA82" s="21"/>
      <c r="BD82" s="30"/>
      <c r="BE82" s="30"/>
      <c r="BF82" s="30"/>
      <c r="BG82" s="21"/>
      <c r="BH82" s="21"/>
      <c r="BI82" s="21"/>
      <c r="BJ82" s="21"/>
      <c r="BK82" s="21"/>
      <c r="BL82" s="21"/>
      <c r="BQ82" s="32"/>
      <c r="BR82" s="30"/>
      <c r="BS82" s="30"/>
      <c r="CB82" s="18"/>
      <c r="CC82" s="19"/>
      <c r="CD82" s="19"/>
      <c r="CE82" s="19"/>
      <c r="CF82" s="19"/>
      <c r="CG82" s="19"/>
      <c r="CH82" s="19"/>
      <c r="CI82" s="20"/>
      <c r="CJ82" s="20"/>
      <c r="CN82" s="18"/>
      <c r="CO82" s="19"/>
      <c r="CP82" s="19"/>
      <c r="CQ82" s="19"/>
      <c r="CR82" s="19"/>
      <c r="CS82" s="19"/>
      <c r="CT82" s="19"/>
      <c r="CU82" s="20"/>
      <c r="CV82" s="20"/>
      <c r="DA82" s="18">
        <f t="shared" si="29"/>
        <v>0</v>
      </c>
      <c r="DB82" s="19">
        <f t="shared" si="30"/>
        <v>0</v>
      </c>
      <c r="DC82" s="19">
        <f t="shared" si="31"/>
        <v>0</v>
      </c>
      <c r="DD82" s="19">
        <f t="shared" si="32"/>
        <v>0</v>
      </c>
      <c r="DE82" s="19">
        <f t="shared" si="33"/>
        <v>0</v>
      </c>
      <c r="DF82" s="19">
        <f t="shared" si="34"/>
        <v>0</v>
      </c>
      <c r="DG82" s="19">
        <f t="shared" si="35"/>
        <v>0</v>
      </c>
      <c r="DH82" s="20">
        <f t="shared" si="36"/>
        <v>0</v>
      </c>
      <c r="DI82" s="20">
        <f t="shared" si="37"/>
        <v>0</v>
      </c>
      <c r="DJ82" s="2"/>
    </row>
    <row r="83" spans="29:114" x14ac:dyDescent="0.3">
      <c r="AS83" s="30"/>
      <c r="AT83" s="30"/>
      <c r="AU83" s="30"/>
      <c r="AV83" s="21"/>
      <c r="AW83" s="21"/>
      <c r="AX83" s="21"/>
      <c r="AY83" s="21"/>
      <c r="AZ83" s="21"/>
      <c r="BA83" s="21"/>
      <c r="BD83" s="30"/>
      <c r="BE83" s="30"/>
      <c r="BF83" s="30"/>
      <c r="BG83" s="21"/>
      <c r="BH83" s="21"/>
      <c r="BI83" s="21"/>
      <c r="BJ83" s="21"/>
      <c r="BK83" s="21"/>
      <c r="BL83" s="21"/>
      <c r="BQ83" s="32"/>
      <c r="BR83" s="30"/>
      <c r="BS83" s="30"/>
      <c r="CB83" s="18"/>
      <c r="CC83" s="19"/>
      <c r="CD83" s="19"/>
      <c r="CE83" s="19"/>
      <c r="CF83" s="19"/>
      <c r="CG83" s="19"/>
      <c r="CH83" s="19"/>
      <c r="CI83" s="20"/>
      <c r="CJ83" s="20"/>
      <c r="CN83" s="18"/>
      <c r="CO83" s="19"/>
      <c r="CP83" s="19"/>
      <c r="CQ83" s="19"/>
      <c r="CR83" s="19"/>
      <c r="CS83" s="19"/>
      <c r="CT83" s="19"/>
      <c r="CU83" s="20"/>
      <c r="CV83" s="20"/>
      <c r="DA83" s="18">
        <f t="shared" si="29"/>
        <v>0</v>
      </c>
      <c r="DB83" s="19">
        <f t="shared" si="30"/>
        <v>0</v>
      </c>
      <c r="DC83" s="19">
        <f t="shared" si="31"/>
        <v>0</v>
      </c>
      <c r="DD83" s="19">
        <f t="shared" si="32"/>
        <v>0</v>
      </c>
      <c r="DE83" s="19">
        <f t="shared" si="33"/>
        <v>0</v>
      </c>
      <c r="DF83" s="19">
        <f t="shared" si="34"/>
        <v>0</v>
      </c>
      <c r="DG83" s="19">
        <f t="shared" si="35"/>
        <v>0</v>
      </c>
      <c r="DH83" s="20">
        <f t="shared" si="36"/>
        <v>0</v>
      </c>
      <c r="DI83" s="20">
        <f t="shared" si="37"/>
        <v>0</v>
      </c>
      <c r="DJ83" s="2"/>
    </row>
    <row r="84" spans="29:114" x14ac:dyDescent="0.3">
      <c r="AS84" s="30"/>
      <c r="AT84" s="30"/>
      <c r="AU84" s="30"/>
      <c r="AV84" s="21"/>
      <c r="AW84" s="21"/>
      <c r="AX84" s="21"/>
      <c r="AY84" s="21"/>
      <c r="AZ84" s="21"/>
      <c r="BA84" s="21"/>
      <c r="BD84" s="30"/>
      <c r="BE84" s="30"/>
      <c r="BF84" s="30"/>
      <c r="BG84" s="21"/>
      <c r="BH84" s="21"/>
      <c r="BI84" s="21"/>
      <c r="BJ84" s="21"/>
      <c r="BK84" s="21"/>
      <c r="BL84" s="21"/>
      <c r="BQ84" s="32"/>
      <c r="BR84" s="30"/>
      <c r="BS84" s="30"/>
      <c r="CB84" s="18"/>
      <c r="CC84" s="19"/>
      <c r="CD84" s="19"/>
      <c r="CE84" s="19"/>
      <c r="CF84" s="19"/>
      <c r="CG84" s="19"/>
      <c r="CH84" s="19"/>
      <c r="CI84" s="20"/>
      <c r="CJ84" s="20"/>
      <c r="CN84" s="18"/>
      <c r="CO84" s="19"/>
      <c r="CP84" s="19"/>
      <c r="CQ84" s="19"/>
      <c r="CR84" s="19"/>
      <c r="CS84" s="19"/>
      <c r="CT84" s="19"/>
      <c r="CU84" s="20"/>
      <c r="CV84" s="20"/>
      <c r="DA84" s="18">
        <f t="shared" si="29"/>
        <v>0</v>
      </c>
      <c r="DB84" s="19">
        <f t="shared" si="30"/>
        <v>0</v>
      </c>
      <c r="DC84" s="19">
        <f t="shared" si="31"/>
        <v>0</v>
      </c>
      <c r="DD84" s="19">
        <f t="shared" si="32"/>
        <v>0</v>
      </c>
      <c r="DE84" s="19">
        <f t="shared" si="33"/>
        <v>0</v>
      </c>
      <c r="DF84" s="19">
        <f t="shared" si="34"/>
        <v>0</v>
      </c>
      <c r="DG84" s="19">
        <f t="shared" si="35"/>
        <v>0</v>
      </c>
      <c r="DH84" s="20">
        <f t="shared" si="36"/>
        <v>0</v>
      </c>
      <c r="DI84" s="20">
        <f t="shared" si="37"/>
        <v>0</v>
      </c>
      <c r="DJ84" s="2"/>
    </row>
    <row r="85" spans="29:114" x14ac:dyDescent="0.3">
      <c r="AS85" s="30"/>
      <c r="AT85" s="30"/>
      <c r="AU85" s="30"/>
      <c r="AV85" s="21"/>
      <c r="AW85" s="21"/>
      <c r="AX85" s="21"/>
      <c r="AY85" s="21"/>
      <c r="AZ85" s="21"/>
      <c r="BA85" s="21"/>
      <c r="BD85" s="30"/>
      <c r="BE85" s="30"/>
      <c r="BF85" s="30"/>
      <c r="BG85" s="21"/>
      <c r="BH85" s="21"/>
      <c r="BI85" s="21"/>
      <c r="BJ85" s="21"/>
      <c r="BK85" s="21"/>
      <c r="BL85" s="21"/>
      <c r="BQ85" s="32"/>
      <c r="BR85" s="30"/>
      <c r="BS85" s="30"/>
      <c r="CB85" s="18"/>
      <c r="CC85" s="19"/>
      <c r="CD85" s="19"/>
      <c r="CE85" s="19"/>
      <c r="CF85" s="19"/>
      <c r="CG85" s="19"/>
      <c r="CH85" s="19"/>
      <c r="CI85" s="20"/>
      <c r="CJ85" s="20"/>
      <c r="CN85" s="18"/>
      <c r="CO85" s="19"/>
      <c r="CP85" s="19"/>
      <c r="CQ85" s="19"/>
      <c r="CR85" s="19"/>
      <c r="CS85" s="19"/>
      <c r="CT85" s="19"/>
      <c r="CU85" s="20"/>
      <c r="CV85" s="20"/>
      <c r="DA85" s="18">
        <f t="shared" si="29"/>
        <v>0</v>
      </c>
      <c r="DB85" s="19">
        <f t="shared" si="30"/>
        <v>0</v>
      </c>
      <c r="DC85" s="19">
        <f t="shared" si="31"/>
        <v>0</v>
      </c>
      <c r="DD85" s="19">
        <f t="shared" si="32"/>
        <v>0</v>
      </c>
      <c r="DE85" s="19">
        <f t="shared" si="33"/>
        <v>0</v>
      </c>
      <c r="DF85" s="19">
        <f t="shared" si="34"/>
        <v>0</v>
      </c>
      <c r="DG85" s="19">
        <f t="shared" si="35"/>
        <v>0</v>
      </c>
      <c r="DH85" s="20">
        <f t="shared" si="36"/>
        <v>0</v>
      </c>
      <c r="DI85" s="20">
        <f t="shared" si="37"/>
        <v>0</v>
      </c>
      <c r="DJ85" s="2"/>
    </row>
    <row r="86" spans="29:114" x14ac:dyDescent="0.3">
      <c r="AS86" s="30"/>
      <c r="AT86" s="30"/>
      <c r="AU86" s="30"/>
      <c r="AV86" s="21"/>
      <c r="AW86" s="21"/>
      <c r="AX86" s="21"/>
      <c r="AY86" s="21"/>
      <c r="AZ86" s="21"/>
      <c r="BA86" s="21"/>
      <c r="BD86" s="30"/>
      <c r="BE86" s="30"/>
      <c r="BF86" s="30"/>
      <c r="BG86" s="21"/>
      <c r="BH86" s="21"/>
      <c r="BI86" s="21"/>
      <c r="BJ86" s="21"/>
      <c r="BK86" s="21"/>
      <c r="BL86" s="21"/>
      <c r="BQ86" s="32"/>
      <c r="BR86" s="30"/>
      <c r="BS86" s="30"/>
      <c r="CB86" s="18"/>
      <c r="CC86" s="19"/>
      <c r="CD86" s="19"/>
      <c r="CE86" s="19"/>
      <c r="CF86" s="19"/>
      <c r="CG86" s="19"/>
      <c r="CH86" s="19"/>
      <c r="CI86" s="20"/>
      <c r="CJ86" s="20"/>
      <c r="CN86" s="18"/>
      <c r="CO86" s="19"/>
      <c r="CP86" s="19"/>
      <c r="CQ86" s="19"/>
      <c r="CR86" s="19"/>
      <c r="CS86" s="19"/>
      <c r="CT86" s="19"/>
      <c r="CU86" s="20"/>
      <c r="CV86" s="20"/>
      <c r="DA86" s="18">
        <f t="shared" si="29"/>
        <v>0</v>
      </c>
      <c r="DB86" s="19">
        <f t="shared" si="30"/>
        <v>0</v>
      </c>
      <c r="DC86" s="19">
        <f t="shared" si="31"/>
        <v>0</v>
      </c>
      <c r="DD86" s="19">
        <f t="shared" si="32"/>
        <v>0</v>
      </c>
      <c r="DE86" s="19">
        <f t="shared" si="33"/>
        <v>0</v>
      </c>
      <c r="DF86" s="19">
        <f t="shared" si="34"/>
        <v>0</v>
      </c>
      <c r="DG86" s="19">
        <f t="shared" si="35"/>
        <v>0</v>
      </c>
      <c r="DH86" s="20">
        <f t="shared" si="36"/>
        <v>0</v>
      </c>
      <c r="DI86" s="20">
        <f t="shared" si="37"/>
        <v>0</v>
      </c>
      <c r="DJ86" s="2"/>
    </row>
    <row r="87" spans="29:114" x14ac:dyDescent="0.3">
      <c r="AS87" s="30"/>
      <c r="AT87" s="30"/>
      <c r="AU87" s="30"/>
      <c r="AV87" s="21"/>
      <c r="AW87" s="21"/>
      <c r="AX87" s="21"/>
      <c r="AY87" s="21"/>
      <c r="AZ87" s="21"/>
      <c r="BA87" s="21"/>
      <c r="BD87" s="30"/>
      <c r="BE87" s="30"/>
      <c r="BF87" s="30"/>
      <c r="BG87" s="21"/>
      <c r="BH87" s="21"/>
      <c r="BI87" s="21"/>
      <c r="BJ87" s="21"/>
      <c r="BK87" s="21"/>
      <c r="BL87" s="21"/>
      <c r="BQ87" s="32"/>
      <c r="BR87" s="30"/>
      <c r="BS87" s="30"/>
      <c r="CB87" s="18"/>
      <c r="CC87" s="19"/>
      <c r="CD87" s="19"/>
      <c r="CE87" s="19"/>
      <c r="CF87" s="19"/>
      <c r="CG87" s="19"/>
      <c r="CH87" s="19"/>
      <c r="CI87" s="20"/>
      <c r="CJ87" s="20"/>
      <c r="CN87" s="18"/>
      <c r="CO87" s="19"/>
      <c r="CP87" s="19"/>
      <c r="CQ87" s="19"/>
      <c r="CR87" s="19"/>
      <c r="CS87" s="19"/>
      <c r="CT87" s="19"/>
      <c r="CU87" s="20"/>
      <c r="CV87" s="20"/>
      <c r="DA87" s="18">
        <f t="shared" si="29"/>
        <v>0</v>
      </c>
      <c r="DB87" s="19">
        <f t="shared" si="30"/>
        <v>0</v>
      </c>
      <c r="DC87" s="19">
        <f t="shared" si="31"/>
        <v>0</v>
      </c>
      <c r="DD87" s="19">
        <f t="shared" si="32"/>
        <v>0</v>
      </c>
      <c r="DE87" s="19">
        <f t="shared" si="33"/>
        <v>0</v>
      </c>
      <c r="DF87" s="19">
        <f t="shared" si="34"/>
        <v>0</v>
      </c>
      <c r="DG87" s="19">
        <f t="shared" si="35"/>
        <v>0</v>
      </c>
      <c r="DH87" s="20">
        <f t="shared" si="36"/>
        <v>0</v>
      </c>
      <c r="DI87" s="20">
        <f t="shared" si="37"/>
        <v>0</v>
      </c>
      <c r="DJ87" s="2"/>
    </row>
    <row r="88" spans="29:114" x14ac:dyDescent="0.3">
      <c r="AS88" s="30"/>
      <c r="AT88" s="30"/>
      <c r="AU88" s="30"/>
      <c r="AV88" s="21"/>
      <c r="AW88" s="21"/>
      <c r="AX88" s="21"/>
      <c r="AY88" s="21"/>
      <c r="AZ88" s="21"/>
      <c r="BA88" s="21"/>
      <c r="BD88" s="30"/>
      <c r="BE88" s="30"/>
      <c r="BF88" s="30"/>
      <c r="BG88" s="21"/>
      <c r="BH88" s="21"/>
      <c r="BI88" s="21"/>
      <c r="BJ88" s="21"/>
      <c r="BK88" s="21"/>
      <c r="BL88" s="21"/>
      <c r="BQ88" s="32"/>
      <c r="BR88" s="30"/>
      <c r="BS88" s="30"/>
      <c r="CB88" s="18"/>
      <c r="CC88" s="19"/>
      <c r="CD88" s="19"/>
      <c r="CE88" s="19"/>
      <c r="CF88" s="19"/>
      <c r="CG88" s="19"/>
      <c r="CH88" s="19"/>
      <c r="CI88" s="20"/>
      <c r="CJ88" s="20"/>
      <c r="CN88" s="18"/>
      <c r="CO88" s="19"/>
      <c r="CP88" s="19"/>
      <c r="CQ88" s="19"/>
      <c r="CR88" s="19"/>
      <c r="CS88" s="19"/>
      <c r="CT88" s="19"/>
      <c r="CU88" s="20"/>
      <c r="CV88" s="20"/>
      <c r="DA88" s="18">
        <f t="shared" si="29"/>
        <v>0</v>
      </c>
      <c r="DB88" s="19">
        <f t="shared" si="30"/>
        <v>0</v>
      </c>
      <c r="DC88" s="19">
        <f t="shared" si="31"/>
        <v>0</v>
      </c>
      <c r="DD88" s="19">
        <f t="shared" si="32"/>
        <v>0</v>
      </c>
      <c r="DE88" s="19">
        <f t="shared" si="33"/>
        <v>0</v>
      </c>
      <c r="DF88" s="19">
        <f t="shared" si="34"/>
        <v>0</v>
      </c>
      <c r="DG88" s="19">
        <f t="shared" si="35"/>
        <v>0</v>
      </c>
      <c r="DH88" s="20">
        <f t="shared" si="36"/>
        <v>0</v>
      </c>
      <c r="DI88" s="20">
        <f t="shared" si="37"/>
        <v>0</v>
      </c>
      <c r="DJ88" s="2"/>
    </row>
    <row r="89" spans="29:114" x14ac:dyDescent="0.3">
      <c r="AS89" s="30"/>
      <c r="AT89" s="30"/>
      <c r="AU89" s="30"/>
      <c r="AV89" s="21"/>
      <c r="AW89" s="21"/>
      <c r="AX89" s="21"/>
      <c r="AY89" s="21"/>
      <c r="AZ89" s="21"/>
      <c r="BA89" s="21"/>
      <c r="BD89" s="30"/>
      <c r="BE89" s="30"/>
      <c r="BF89" s="30"/>
      <c r="BG89" s="21"/>
      <c r="BH89" s="21"/>
      <c r="BI89" s="21"/>
      <c r="BJ89" s="21"/>
      <c r="BK89" s="21"/>
      <c r="BL89" s="21"/>
      <c r="BQ89" s="32"/>
      <c r="BR89" s="30"/>
      <c r="BS89" s="30"/>
      <c r="CB89" s="18"/>
      <c r="CC89" s="19"/>
      <c r="CD89" s="19"/>
      <c r="CE89" s="19"/>
      <c r="CF89" s="19"/>
      <c r="CG89" s="19"/>
      <c r="CH89" s="19"/>
      <c r="CI89" s="20"/>
      <c r="CJ89" s="20"/>
      <c r="CN89" s="18"/>
      <c r="CO89" s="19"/>
      <c r="CP89" s="19"/>
      <c r="CQ89" s="19"/>
      <c r="CR89" s="19"/>
      <c r="CS89" s="19"/>
      <c r="CT89" s="19"/>
      <c r="CU89" s="20"/>
      <c r="CV89" s="20"/>
      <c r="DA89" s="18">
        <f t="shared" si="29"/>
        <v>0</v>
      </c>
      <c r="DB89" s="19">
        <f t="shared" si="30"/>
        <v>0</v>
      </c>
      <c r="DC89" s="19">
        <f t="shared" si="31"/>
        <v>0</v>
      </c>
      <c r="DD89" s="19">
        <f t="shared" si="32"/>
        <v>0</v>
      </c>
      <c r="DE89" s="19">
        <f t="shared" si="33"/>
        <v>0</v>
      </c>
      <c r="DF89" s="19">
        <f t="shared" si="34"/>
        <v>0</v>
      </c>
      <c r="DG89" s="19">
        <f t="shared" si="35"/>
        <v>0</v>
      </c>
      <c r="DH89" s="20">
        <f t="shared" si="36"/>
        <v>0</v>
      </c>
      <c r="DI89" s="20">
        <f t="shared" si="37"/>
        <v>0</v>
      </c>
      <c r="DJ89" s="2"/>
    </row>
    <row r="90" spans="29:114" x14ac:dyDescent="0.3">
      <c r="AS90" s="30"/>
      <c r="AT90" s="30"/>
      <c r="AU90" s="30"/>
      <c r="AV90" s="21"/>
      <c r="AW90" s="21"/>
      <c r="AX90" s="21"/>
      <c r="AY90" s="21"/>
      <c r="AZ90" s="21"/>
      <c r="BA90" s="21"/>
      <c r="BD90" s="30"/>
      <c r="BE90" s="30"/>
      <c r="BF90" s="30"/>
      <c r="BG90" s="21"/>
      <c r="BH90" s="21"/>
      <c r="BI90" s="21"/>
      <c r="BJ90" s="21"/>
      <c r="BK90" s="21"/>
      <c r="BL90" s="21"/>
      <c r="BQ90" s="32"/>
      <c r="BR90" s="30"/>
      <c r="BS90" s="30"/>
      <c r="CB90" s="18"/>
      <c r="CC90" s="19"/>
      <c r="CD90" s="19"/>
      <c r="CE90" s="19"/>
      <c r="CF90" s="19"/>
      <c r="CG90" s="19"/>
      <c r="CH90" s="19"/>
      <c r="CI90" s="20"/>
      <c r="CJ90" s="20"/>
      <c r="CN90" s="18"/>
      <c r="CO90" s="19"/>
      <c r="CP90" s="19"/>
      <c r="CQ90" s="19"/>
      <c r="CR90" s="19"/>
      <c r="CS90" s="19"/>
      <c r="CT90" s="19"/>
      <c r="CU90" s="20"/>
      <c r="CV90" s="20"/>
      <c r="DA90" s="18">
        <f t="shared" si="29"/>
        <v>0</v>
      </c>
      <c r="DB90" s="19">
        <f t="shared" si="30"/>
        <v>0</v>
      </c>
      <c r="DC90" s="19">
        <f t="shared" si="31"/>
        <v>0</v>
      </c>
      <c r="DD90" s="19">
        <f t="shared" si="32"/>
        <v>0</v>
      </c>
      <c r="DE90" s="19">
        <f t="shared" si="33"/>
        <v>0</v>
      </c>
      <c r="DF90" s="19">
        <f t="shared" si="34"/>
        <v>0</v>
      </c>
      <c r="DG90" s="19">
        <f t="shared" si="35"/>
        <v>0</v>
      </c>
      <c r="DH90" s="20">
        <f t="shared" si="36"/>
        <v>0</v>
      </c>
      <c r="DI90" s="20">
        <f t="shared" si="37"/>
        <v>0</v>
      </c>
      <c r="DJ90" s="2"/>
    </row>
    <row r="91" spans="29:114" x14ac:dyDescent="0.3">
      <c r="AS91" s="30"/>
      <c r="AT91" s="30"/>
      <c r="AU91" s="30"/>
      <c r="AV91" s="21"/>
      <c r="AW91" s="21"/>
      <c r="AX91" s="21"/>
      <c r="AY91" s="21"/>
      <c r="AZ91" s="21"/>
      <c r="BA91" s="21"/>
      <c r="BD91" s="30"/>
      <c r="BE91" s="30"/>
      <c r="BF91" s="30"/>
      <c r="BG91" s="21"/>
      <c r="BH91" s="21"/>
      <c r="BI91" s="21"/>
      <c r="BJ91" s="21"/>
      <c r="BK91" s="21"/>
      <c r="BL91" s="21"/>
      <c r="BQ91" s="32"/>
      <c r="BR91" s="30"/>
      <c r="BS91" s="30"/>
      <c r="CB91" s="18"/>
      <c r="CC91" s="19"/>
      <c r="CD91" s="19"/>
      <c r="CE91" s="19"/>
      <c r="CF91" s="19"/>
      <c r="CG91" s="19"/>
      <c r="CH91" s="19"/>
      <c r="CI91" s="20"/>
      <c r="CJ91" s="20"/>
      <c r="CN91" s="18"/>
      <c r="CO91" s="19"/>
      <c r="CP91" s="19"/>
      <c r="CQ91" s="19"/>
      <c r="CR91" s="19"/>
      <c r="CS91" s="19"/>
      <c r="CT91" s="19"/>
      <c r="CU91" s="20"/>
      <c r="CV91" s="20"/>
      <c r="DA91" s="18">
        <f t="shared" si="29"/>
        <v>0</v>
      </c>
      <c r="DB91" s="19">
        <f t="shared" si="30"/>
        <v>0</v>
      </c>
      <c r="DC91" s="19">
        <f t="shared" si="31"/>
        <v>0</v>
      </c>
      <c r="DD91" s="19">
        <f t="shared" si="32"/>
        <v>0</v>
      </c>
      <c r="DE91" s="19">
        <f t="shared" si="33"/>
        <v>0</v>
      </c>
      <c r="DF91" s="19">
        <f t="shared" si="34"/>
        <v>0</v>
      </c>
      <c r="DG91" s="19">
        <f t="shared" si="35"/>
        <v>0</v>
      </c>
      <c r="DH91" s="20">
        <f t="shared" si="36"/>
        <v>0</v>
      </c>
      <c r="DI91" s="20">
        <f t="shared" si="37"/>
        <v>0</v>
      </c>
      <c r="DJ91" s="2"/>
    </row>
    <row r="92" spans="29:114" x14ac:dyDescent="0.3">
      <c r="AS92" s="30"/>
      <c r="AT92" s="30"/>
      <c r="AU92" s="30"/>
      <c r="AV92" s="21"/>
      <c r="AW92" s="21"/>
      <c r="AX92" s="21"/>
      <c r="AY92" s="21"/>
      <c r="AZ92" s="21"/>
      <c r="BA92" s="21"/>
      <c r="BD92" s="30"/>
      <c r="BE92" s="30"/>
      <c r="BF92" s="30"/>
      <c r="BG92" s="21"/>
      <c r="BH92" s="21"/>
      <c r="BI92" s="21"/>
      <c r="BJ92" s="21"/>
      <c r="BK92" s="21"/>
      <c r="BL92" s="21"/>
      <c r="BQ92" s="32"/>
      <c r="BR92" s="30"/>
      <c r="BS92" s="30"/>
      <c r="CB92" s="18"/>
      <c r="CC92" s="19"/>
      <c r="CD92" s="19"/>
      <c r="CE92" s="19"/>
      <c r="CF92" s="19"/>
      <c r="CG92" s="19"/>
      <c r="CH92" s="19"/>
      <c r="CI92" s="20"/>
      <c r="CJ92" s="20"/>
      <c r="CN92" s="18"/>
      <c r="CO92" s="19"/>
      <c r="CP92" s="19"/>
      <c r="CQ92" s="19"/>
      <c r="CR92" s="19"/>
      <c r="CS92" s="19"/>
      <c r="CT92" s="19"/>
      <c r="CU92" s="20"/>
      <c r="CV92" s="20"/>
      <c r="DA92" s="18">
        <f t="shared" si="29"/>
        <v>0</v>
      </c>
      <c r="DB92" s="19">
        <f t="shared" si="30"/>
        <v>0</v>
      </c>
      <c r="DC92" s="19">
        <f t="shared" si="31"/>
        <v>0</v>
      </c>
      <c r="DD92" s="19">
        <f t="shared" si="32"/>
        <v>0</v>
      </c>
      <c r="DE92" s="19">
        <f t="shared" si="33"/>
        <v>0</v>
      </c>
      <c r="DF92" s="19">
        <f t="shared" si="34"/>
        <v>0</v>
      </c>
      <c r="DG92" s="19">
        <f t="shared" si="35"/>
        <v>0</v>
      </c>
      <c r="DH92" s="20">
        <f t="shared" si="36"/>
        <v>0</v>
      </c>
      <c r="DI92" s="20">
        <f t="shared" si="37"/>
        <v>0</v>
      </c>
      <c r="DJ92" s="2"/>
    </row>
    <row r="93" spans="29:114" x14ac:dyDescent="0.3">
      <c r="AS93" s="30"/>
      <c r="AT93" s="30"/>
      <c r="AU93" s="30"/>
      <c r="AV93" s="21"/>
      <c r="AW93" s="21"/>
      <c r="AX93" s="21"/>
      <c r="AY93" s="21"/>
      <c r="AZ93" s="21"/>
      <c r="BA93" s="21"/>
      <c r="BD93" s="30"/>
      <c r="BE93" s="30"/>
      <c r="BF93" s="30"/>
      <c r="BG93" s="21"/>
      <c r="BH93" s="21"/>
      <c r="BI93" s="21"/>
      <c r="BJ93" s="21"/>
      <c r="BK93" s="21"/>
      <c r="BL93" s="21"/>
      <c r="BQ93" s="32"/>
      <c r="BR93" s="30"/>
      <c r="BS93" s="30"/>
      <c r="CB93" s="18"/>
      <c r="CC93" s="19"/>
      <c r="CD93" s="19"/>
      <c r="CE93" s="19"/>
      <c r="CF93" s="19"/>
      <c r="CG93" s="19"/>
      <c r="CH93" s="19"/>
      <c r="CI93" s="20"/>
      <c r="CJ93" s="20"/>
      <c r="CN93" s="18"/>
      <c r="CO93" s="19"/>
      <c r="CP93" s="19"/>
      <c r="CQ93" s="19"/>
      <c r="CR93" s="19"/>
      <c r="CS93" s="19"/>
      <c r="CT93" s="19"/>
      <c r="CU93" s="20"/>
      <c r="CV93" s="20"/>
      <c r="DA93" s="18">
        <f t="shared" si="29"/>
        <v>0</v>
      </c>
      <c r="DB93" s="19">
        <f t="shared" si="30"/>
        <v>0</v>
      </c>
      <c r="DC93" s="19">
        <f t="shared" si="31"/>
        <v>0</v>
      </c>
      <c r="DD93" s="19">
        <f t="shared" si="32"/>
        <v>0</v>
      </c>
      <c r="DE93" s="19">
        <f t="shared" si="33"/>
        <v>0</v>
      </c>
      <c r="DF93" s="19">
        <f t="shared" si="34"/>
        <v>0</v>
      </c>
      <c r="DG93" s="19">
        <f t="shared" si="35"/>
        <v>0</v>
      </c>
      <c r="DH93" s="20">
        <f t="shared" si="36"/>
        <v>0</v>
      </c>
      <c r="DI93" s="20">
        <f t="shared" si="37"/>
        <v>0</v>
      </c>
      <c r="DJ93" s="2"/>
    </row>
    <row r="94" spans="29:114" x14ac:dyDescent="0.3">
      <c r="AS94" s="30"/>
      <c r="AT94" s="30"/>
      <c r="AU94" s="30"/>
      <c r="AV94" s="21"/>
      <c r="AW94" s="21"/>
      <c r="AX94" s="21"/>
      <c r="AY94" s="21"/>
      <c r="AZ94" s="21"/>
      <c r="BA94" s="21"/>
      <c r="BD94" s="30"/>
      <c r="BE94" s="30"/>
      <c r="BF94" s="30"/>
      <c r="BG94" s="21"/>
      <c r="BH94" s="21"/>
      <c r="BI94" s="21"/>
      <c r="BJ94" s="21"/>
      <c r="BK94" s="21"/>
      <c r="BL94" s="21"/>
      <c r="BQ94" s="32"/>
      <c r="BR94" s="30"/>
      <c r="BS94" s="30"/>
      <c r="CB94" s="18"/>
      <c r="CC94" s="19"/>
      <c r="CD94" s="19"/>
      <c r="CE94" s="19"/>
      <c r="CF94" s="19"/>
      <c r="CG94" s="19"/>
      <c r="CH94" s="19"/>
      <c r="CI94" s="20"/>
      <c r="CJ94" s="20"/>
      <c r="CN94" s="18"/>
      <c r="CO94" s="19"/>
      <c r="CP94" s="19"/>
      <c r="CQ94" s="19"/>
      <c r="CR94" s="19"/>
      <c r="CS94" s="19"/>
      <c r="CT94" s="19"/>
      <c r="CU94" s="20"/>
      <c r="CV94" s="20"/>
      <c r="DA94" s="18">
        <f t="shared" si="29"/>
        <v>0</v>
      </c>
      <c r="DB94" s="19">
        <f t="shared" si="30"/>
        <v>0</v>
      </c>
      <c r="DC94" s="19">
        <f t="shared" si="31"/>
        <v>0</v>
      </c>
      <c r="DD94" s="19">
        <f t="shared" si="32"/>
        <v>0</v>
      </c>
      <c r="DE94" s="19">
        <f t="shared" si="33"/>
        <v>0</v>
      </c>
      <c r="DF94" s="19">
        <f t="shared" si="34"/>
        <v>0</v>
      </c>
      <c r="DG94" s="19">
        <f t="shared" si="35"/>
        <v>0</v>
      </c>
      <c r="DH94" s="20">
        <f t="shared" si="36"/>
        <v>0</v>
      </c>
      <c r="DI94" s="20">
        <f t="shared" si="37"/>
        <v>0</v>
      </c>
      <c r="DJ94" s="2"/>
    </row>
    <row r="95" spans="29:114" x14ac:dyDescent="0.3">
      <c r="AS95" s="30"/>
      <c r="AT95" s="30"/>
      <c r="AU95" s="30"/>
      <c r="AV95" s="21"/>
      <c r="AW95" s="21"/>
      <c r="AX95" s="21"/>
      <c r="AY95" s="21"/>
      <c r="AZ95" s="21"/>
      <c r="BA95" s="21"/>
      <c r="BD95" s="30"/>
      <c r="BE95" s="30"/>
      <c r="BF95" s="30"/>
      <c r="BG95" s="21"/>
      <c r="BH95" s="21"/>
      <c r="BI95" s="21"/>
      <c r="BJ95" s="21"/>
      <c r="BK95" s="21"/>
      <c r="BL95" s="21"/>
      <c r="BQ95" s="32"/>
      <c r="BR95" s="30"/>
      <c r="BS95" s="30"/>
      <c r="CB95" s="18"/>
      <c r="CC95" s="19"/>
      <c r="CD95" s="19"/>
      <c r="CE95" s="19"/>
      <c r="CF95" s="19"/>
      <c r="CG95" s="19"/>
      <c r="CH95" s="19"/>
      <c r="CI95" s="20"/>
      <c r="CJ95" s="20"/>
      <c r="CN95" s="18"/>
      <c r="CO95" s="19"/>
      <c r="CP95" s="19"/>
      <c r="CQ95" s="19"/>
      <c r="CR95" s="19"/>
      <c r="CS95" s="19"/>
      <c r="CT95" s="19"/>
      <c r="CU95" s="20"/>
      <c r="CV95" s="20"/>
      <c r="DA95" s="18">
        <f t="shared" si="29"/>
        <v>0</v>
      </c>
      <c r="DB95" s="19">
        <f t="shared" si="30"/>
        <v>0</v>
      </c>
      <c r="DC95" s="19">
        <f t="shared" si="31"/>
        <v>0</v>
      </c>
      <c r="DD95" s="19">
        <f t="shared" si="32"/>
        <v>0</v>
      </c>
      <c r="DE95" s="19">
        <f t="shared" si="33"/>
        <v>0</v>
      </c>
      <c r="DF95" s="19">
        <f t="shared" si="34"/>
        <v>0</v>
      </c>
      <c r="DG95" s="19">
        <f t="shared" si="35"/>
        <v>0</v>
      </c>
      <c r="DH95" s="20">
        <f t="shared" si="36"/>
        <v>0</v>
      </c>
      <c r="DI95" s="20">
        <f t="shared" si="37"/>
        <v>0</v>
      </c>
      <c r="DJ95" s="2"/>
    </row>
    <row r="96" spans="29:114" x14ac:dyDescent="0.3">
      <c r="AS96" s="30"/>
      <c r="AT96" s="30"/>
      <c r="AU96" s="30"/>
      <c r="AV96" s="21"/>
      <c r="AW96" s="21"/>
      <c r="AX96" s="21"/>
      <c r="AY96" s="21"/>
      <c r="AZ96" s="21"/>
      <c r="BA96" s="21"/>
      <c r="BD96" s="30"/>
      <c r="BE96" s="30"/>
      <c r="BF96" s="30"/>
      <c r="BG96" s="21"/>
      <c r="BH96" s="21"/>
      <c r="BI96" s="21"/>
      <c r="BJ96" s="21"/>
      <c r="BK96" s="21"/>
      <c r="BL96" s="21"/>
      <c r="BQ96" s="32"/>
      <c r="BR96" s="30"/>
      <c r="BS96" s="30"/>
      <c r="CB96" s="18"/>
      <c r="CC96" s="19"/>
      <c r="CD96" s="19"/>
      <c r="CE96" s="19"/>
      <c r="CF96" s="19"/>
      <c r="CG96" s="19"/>
      <c r="CH96" s="19"/>
      <c r="CI96" s="20"/>
      <c r="CJ96" s="20"/>
      <c r="CN96" s="18"/>
      <c r="CO96" s="19"/>
      <c r="CP96" s="19"/>
      <c r="CQ96" s="19"/>
      <c r="CR96" s="19"/>
      <c r="CS96" s="19"/>
      <c r="CT96" s="19"/>
      <c r="CU96" s="20"/>
      <c r="CV96" s="20"/>
      <c r="DA96" s="18">
        <f t="shared" si="29"/>
        <v>0</v>
      </c>
      <c r="DB96" s="19">
        <f t="shared" si="30"/>
        <v>0</v>
      </c>
      <c r="DC96" s="19">
        <f t="shared" si="31"/>
        <v>0</v>
      </c>
      <c r="DD96" s="19">
        <f t="shared" si="32"/>
        <v>0</v>
      </c>
      <c r="DE96" s="19">
        <f t="shared" si="33"/>
        <v>0</v>
      </c>
      <c r="DF96" s="19">
        <f t="shared" si="34"/>
        <v>0</v>
      </c>
      <c r="DG96" s="19">
        <f t="shared" si="35"/>
        <v>0</v>
      </c>
      <c r="DH96" s="20">
        <f t="shared" si="36"/>
        <v>0</v>
      </c>
      <c r="DI96" s="20">
        <f t="shared" si="37"/>
        <v>0</v>
      </c>
      <c r="DJ96" s="2"/>
    </row>
    <row r="97" spans="45:114" x14ac:dyDescent="0.3">
      <c r="AS97" s="30"/>
      <c r="AT97" s="30"/>
      <c r="AU97" s="30"/>
      <c r="AV97" s="21"/>
      <c r="AW97" s="21"/>
      <c r="AX97" s="21"/>
      <c r="AY97" s="21"/>
      <c r="AZ97" s="21"/>
      <c r="BA97" s="21"/>
      <c r="BD97" s="30"/>
      <c r="BE97" s="30"/>
      <c r="BF97" s="30"/>
      <c r="BG97" s="21"/>
      <c r="BH97" s="21"/>
      <c r="BI97" s="21"/>
      <c r="BJ97" s="21"/>
      <c r="BK97" s="21"/>
      <c r="BL97" s="21"/>
      <c r="BQ97" s="32"/>
      <c r="BR97" s="30"/>
      <c r="BS97" s="30"/>
      <c r="CB97" s="18"/>
      <c r="CC97" s="19"/>
      <c r="CD97" s="19"/>
      <c r="CE97" s="19"/>
      <c r="CF97" s="19"/>
      <c r="CG97" s="19"/>
      <c r="CH97" s="19"/>
      <c r="CI97" s="20"/>
      <c r="CJ97" s="20"/>
      <c r="CN97" s="18"/>
      <c r="CO97" s="19"/>
      <c r="CP97" s="19"/>
      <c r="CQ97" s="19"/>
      <c r="CR97" s="19"/>
      <c r="CS97" s="19"/>
      <c r="CT97" s="19"/>
      <c r="CU97" s="20"/>
      <c r="CV97" s="20"/>
      <c r="DA97" s="18">
        <f t="shared" si="29"/>
        <v>0</v>
      </c>
      <c r="DB97" s="19">
        <f t="shared" si="30"/>
        <v>0</v>
      </c>
      <c r="DC97" s="19">
        <f t="shared" si="31"/>
        <v>0</v>
      </c>
      <c r="DD97" s="19">
        <f t="shared" si="32"/>
        <v>0</v>
      </c>
      <c r="DE97" s="19">
        <f t="shared" si="33"/>
        <v>0</v>
      </c>
      <c r="DF97" s="19">
        <f t="shared" si="34"/>
        <v>0</v>
      </c>
      <c r="DG97" s="19">
        <f t="shared" si="35"/>
        <v>0</v>
      </c>
      <c r="DH97" s="20">
        <f t="shared" si="36"/>
        <v>0</v>
      </c>
      <c r="DI97" s="20">
        <f t="shared" si="37"/>
        <v>0</v>
      </c>
      <c r="DJ97" s="2"/>
    </row>
    <row r="98" spans="45:114" x14ac:dyDescent="0.3">
      <c r="AS98" s="30"/>
      <c r="AT98" s="30"/>
      <c r="AU98" s="30"/>
      <c r="AV98" s="21"/>
      <c r="AW98" s="21"/>
      <c r="AX98" s="21"/>
      <c r="AY98" s="21"/>
      <c r="AZ98" s="21"/>
      <c r="BA98" s="21"/>
      <c r="BD98" s="30"/>
      <c r="BE98" s="30"/>
      <c r="BF98" s="30"/>
      <c r="BG98" s="21"/>
      <c r="BH98" s="21"/>
      <c r="BI98" s="21"/>
      <c r="BJ98" s="21"/>
      <c r="BK98" s="21"/>
      <c r="BL98" s="21"/>
      <c r="BQ98" s="32"/>
      <c r="BR98" s="30"/>
      <c r="BS98" s="30"/>
      <c r="CB98" s="18"/>
      <c r="CC98" s="19"/>
      <c r="CD98" s="19"/>
      <c r="CE98" s="19"/>
      <c r="CF98" s="19"/>
      <c r="CG98" s="19"/>
      <c r="CH98" s="19"/>
      <c r="CI98" s="20"/>
      <c r="CJ98" s="20"/>
      <c r="CN98" s="18"/>
      <c r="CO98" s="19"/>
      <c r="CP98" s="19"/>
      <c r="CQ98" s="19"/>
      <c r="CR98" s="19"/>
      <c r="CS98" s="19"/>
      <c r="CT98" s="19"/>
      <c r="CU98" s="20"/>
      <c r="CV98" s="20"/>
      <c r="DA98" s="18">
        <f t="shared" si="29"/>
        <v>0</v>
      </c>
      <c r="DB98" s="19">
        <f t="shared" si="30"/>
        <v>0</v>
      </c>
      <c r="DC98" s="19">
        <f t="shared" si="31"/>
        <v>0</v>
      </c>
      <c r="DD98" s="19">
        <f t="shared" si="32"/>
        <v>0</v>
      </c>
      <c r="DE98" s="19">
        <f t="shared" si="33"/>
        <v>0</v>
      </c>
      <c r="DF98" s="19">
        <f t="shared" si="34"/>
        <v>0</v>
      </c>
      <c r="DG98" s="19">
        <f t="shared" si="35"/>
        <v>0</v>
      </c>
      <c r="DH98" s="20">
        <f t="shared" si="36"/>
        <v>0</v>
      </c>
      <c r="DI98" s="20">
        <f t="shared" si="37"/>
        <v>0</v>
      </c>
      <c r="DJ98" s="2"/>
    </row>
    <row r="99" spans="45:114" x14ac:dyDescent="0.3">
      <c r="AS99" s="30"/>
      <c r="AT99" s="30"/>
      <c r="AU99" s="30"/>
      <c r="AV99" s="21"/>
      <c r="AW99" s="21"/>
      <c r="AX99" s="21"/>
      <c r="AY99" s="21"/>
      <c r="AZ99" s="21"/>
      <c r="BA99" s="21"/>
      <c r="BD99" s="30"/>
      <c r="BE99" s="30"/>
      <c r="BF99" s="30"/>
      <c r="BG99" s="21"/>
      <c r="BH99" s="21"/>
      <c r="BI99" s="21"/>
      <c r="BJ99" s="21"/>
      <c r="BK99" s="21"/>
      <c r="BL99" s="21"/>
      <c r="BQ99" s="32"/>
      <c r="BR99" s="30"/>
      <c r="BS99" s="30"/>
      <c r="CB99" s="18"/>
      <c r="CC99" s="19"/>
      <c r="CD99" s="19"/>
      <c r="CE99" s="19"/>
      <c r="CF99" s="19"/>
      <c r="CG99" s="19"/>
      <c r="CH99" s="19"/>
      <c r="CI99" s="20"/>
      <c r="CJ99" s="20"/>
      <c r="CN99" s="18"/>
      <c r="CO99" s="19"/>
      <c r="CP99" s="19"/>
      <c r="CQ99" s="19"/>
      <c r="CR99" s="19"/>
      <c r="CS99" s="19"/>
      <c r="CT99" s="19"/>
      <c r="CU99" s="20"/>
      <c r="CV99" s="20"/>
      <c r="DA99" s="18">
        <f t="shared" si="29"/>
        <v>0</v>
      </c>
      <c r="DB99" s="19">
        <f t="shared" si="30"/>
        <v>0</v>
      </c>
      <c r="DC99" s="19">
        <f t="shared" si="31"/>
        <v>0</v>
      </c>
      <c r="DD99" s="19">
        <f t="shared" si="32"/>
        <v>0</v>
      </c>
      <c r="DE99" s="19">
        <f t="shared" si="33"/>
        <v>0</v>
      </c>
      <c r="DF99" s="19">
        <f t="shared" si="34"/>
        <v>0</v>
      </c>
      <c r="DG99" s="19">
        <f t="shared" si="35"/>
        <v>0</v>
      </c>
      <c r="DH99" s="20">
        <f t="shared" si="36"/>
        <v>0</v>
      </c>
      <c r="DI99" s="20">
        <f t="shared" si="37"/>
        <v>0</v>
      </c>
      <c r="DJ99" s="2"/>
    </row>
    <row r="100" spans="45:114" x14ac:dyDescent="0.3">
      <c r="AS100" s="30"/>
      <c r="AT100" s="30"/>
      <c r="AU100" s="30"/>
      <c r="AV100" s="21"/>
      <c r="AW100" s="21"/>
      <c r="AX100" s="21"/>
      <c r="AY100" s="21"/>
      <c r="AZ100" s="21"/>
      <c r="BA100" s="21"/>
      <c r="BD100" s="30"/>
      <c r="BE100" s="30"/>
      <c r="BF100" s="30"/>
      <c r="BG100" s="21"/>
      <c r="BH100" s="21"/>
      <c r="BI100" s="21"/>
      <c r="BJ100" s="21"/>
      <c r="BK100" s="21"/>
      <c r="BL100" s="21"/>
      <c r="BQ100" s="32"/>
      <c r="BR100" s="30"/>
      <c r="BS100" s="30"/>
      <c r="CB100" s="18"/>
      <c r="CC100" s="19"/>
      <c r="CD100" s="19"/>
      <c r="CE100" s="19"/>
      <c r="CF100" s="19"/>
      <c r="CG100" s="19"/>
      <c r="CH100" s="19"/>
      <c r="CI100" s="20"/>
      <c r="CJ100" s="20"/>
      <c r="CN100" s="18"/>
      <c r="CO100" s="19"/>
      <c r="CP100" s="19"/>
      <c r="CQ100" s="19"/>
      <c r="CR100" s="19"/>
      <c r="CS100" s="19"/>
      <c r="CT100" s="19"/>
      <c r="CU100" s="20"/>
      <c r="CV100" s="20"/>
      <c r="DA100" s="18">
        <f t="shared" si="29"/>
        <v>0</v>
      </c>
      <c r="DB100" s="19">
        <f t="shared" si="30"/>
        <v>0</v>
      </c>
      <c r="DC100" s="19">
        <f t="shared" si="31"/>
        <v>0</v>
      </c>
      <c r="DD100" s="19">
        <f t="shared" si="32"/>
        <v>0</v>
      </c>
      <c r="DE100" s="19">
        <f t="shared" si="33"/>
        <v>0</v>
      </c>
      <c r="DF100" s="19">
        <f t="shared" si="34"/>
        <v>0</v>
      </c>
      <c r="DG100" s="19">
        <f t="shared" si="35"/>
        <v>0</v>
      </c>
      <c r="DH100" s="20">
        <f t="shared" si="36"/>
        <v>0</v>
      </c>
      <c r="DI100" s="20">
        <f t="shared" si="37"/>
        <v>0</v>
      </c>
      <c r="DJ100" s="2"/>
    </row>
    <row r="101" spans="45:114" x14ac:dyDescent="0.3">
      <c r="AS101" s="30"/>
      <c r="AT101" s="30"/>
      <c r="AU101" s="30"/>
      <c r="AV101" s="21"/>
      <c r="AW101" s="21"/>
      <c r="AX101" s="21"/>
      <c r="AY101" s="21"/>
      <c r="AZ101" s="21"/>
      <c r="BA101" s="21"/>
      <c r="BD101" s="30"/>
      <c r="BE101" s="30"/>
      <c r="BF101" s="30"/>
      <c r="BG101" s="21"/>
      <c r="BH101" s="21"/>
      <c r="BI101" s="21"/>
      <c r="BJ101" s="21"/>
      <c r="BK101" s="21"/>
      <c r="BL101" s="21"/>
      <c r="BQ101" s="32"/>
      <c r="BR101" s="30"/>
      <c r="BS101" s="30"/>
      <c r="CB101" s="18"/>
      <c r="CC101" s="19"/>
      <c r="CD101" s="19"/>
      <c r="CE101" s="19"/>
      <c r="CF101" s="19"/>
      <c r="CG101" s="19"/>
      <c r="CH101" s="19"/>
      <c r="CI101" s="20"/>
      <c r="CJ101" s="20"/>
      <c r="CN101" s="18"/>
      <c r="CO101" s="19"/>
      <c r="CP101" s="19"/>
      <c r="CQ101" s="19"/>
      <c r="CR101" s="19"/>
      <c r="CS101" s="19"/>
      <c r="CT101" s="19"/>
      <c r="CU101" s="20"/>
      <c r="CV101" s="20"/>
      <c r="DA101" s="18">
        <f t="shared" si="29"/>
        <v>0</v>
      </c>
      <c r="DB101" s="19">
        <f t="shared" si="30"/>
        <v>0</v>
      </c>
      <c r="DC101" s="19">
        <f t="shared" si="31"/>
        <v>0</v>
      </c>
      <c r="DD101" s="19">
        <f t="shared" si="32"/>
        <v>0</v>
      </c>
      <c r="DE101" s="19">
        <f t="shared" si="33"/>
        <v>0</v>
      </c>
      <c r="DF101" s="19">
        <f t="shared" si="34"/>
        <v>0</v>
      </c>
      <c r="DG101" s="19">
        <f t="shared" si="35"/>
        <v>0</v>
      </c>
      <c r="DH101" s="20">
        <f t="shared" si="36"/>
        <v>0</v>
      </c>
      <c r="DI101" s="20">
        <f t="shared" si="37"/>
        <v>0</v>
      </c>
      <c r="DJ101" s="2"/>
    </row>
    <row r="102" spans="45:114" x14ac:dyDescent="0.3">
      <c r="AS102" s="30"/>
      <c r="AT102" s="30"/>
      <c r="AU102" s="30"/>
      <c r="AV102" s="21"/>
      <c r="AW102" s="21"/>
      <c r="AX102" s="21"/>
      <c r="AY102" s="21"/>
      <c r="AZ102" s="21"/>
      <c r="BA102" s="21"/>
      <c r="BD102" s="30"/>
      <c r="BE102" s="30"/>
      <c r="BF102" s="30"/>
      <c r="BG102" s="21"/>
      <c r="BH102" s="21"/>
      <c r="BI102" s="21"/>
      <c r="BJ102" s="21"/>
      <c r="BK102" s="21"/>
      <c r="BL102" s="21"/>
      <c r="BQ102" s="32"/>
      <c r="BR102" s="30"/>
      <c r="BS102" s="30"/>
      <c r="CB102" s="18"/>
      <c r="CC102" s="19"/>
      <c r="CD102" s="19"/>
      <c r="CE102" s="19"/>
      <c r="CF102" s="19"/>
      <c r="CG102" s="19"/>
      <c r="CH102" s="19"/>
      <c r="CI102" s="20"/>
      <c r="CJ102" s="20"/>
      <c r="CN102" s="18"/>
      <c r="CO102" s="19"/>
      <c r="CP102" s="19"/>
      <c r="CQ102" s="19"/>
      <c r="CR102" s="19"/>
      <c r="CS102" s="19"/>
      <c r="CT102" s="19"/>
      <c r="CU102" s="20"/>
      <c r="CV102" s="20"/>
      <c r="DA102" s="18">
        <f t="shared" si="29"/>
        <v>0</v>
      </c>
      <c r="DB102" s="19">
        <f t="shared" si="30"/>
        <v>0</v>
      </c>
      <c r="DC102" s="19">
        <f t="shared" si="31"/>
        <v>0</v>
      </c>
      <c r="DD102" s="19">
        <f t="shared" si="32"/>
        <v>0</v>
      </c>
      <c r="DE102" s="19">
        <f t="shared" si="33"/>
        <v>0</v>
      </c>
      <c r="DF102" s="19">
        <f t="shared" si="34"/>
        <v>0</v>
      </c>
      <c r="DG102" s="19">
        <f t="shared" si="35"/>
        <v>0</v>
      </c>
      <c r="DH102" s="20">
        <f t="shared" si="36"/>
        <v>0</v>
      </c>
      <c r="DI102" s="20">
        <f t="shared" si="37"/>
        <v>0</v>
      </c>
      <c r="DJ102" s="2"/>
    </row>
    <row r="103" spans="45:114" x14ac:dyDescent="0.3">
      <c r="CB103" s="18"/>
      <c r="CC103" s="19"/>
      <c r="CD103" s="19"/>
      <c r="CE103" s="19"/>
      <c r="CF103" s="19"/>
      <c r="CG103" s="19"/>
      <c r="CH103" s="19"/>
      <c r="CI103" s="20"/>
      <c r="CJ103" s="20"/>
      <c r="CN103" s="18"/>
      <c r="CO103" s="19"/>
      <c r="CP103" s="19"/>
      <c r="CQ103" s="19"/>
      <c r="CR103" s="19"/>
      <c r="CS103" s="19"/>
      <c r="CT103" s="19"/>
      <c r="CU103" s="20"/>
      <c r="CV103" s="20"/>
      <c r="DA103" s="18">
        <f t="shared" si="29"/>
        <v>0</v>
      </c>
      <c r="DB103" s="19">
        <f t="shared" si="30"/>
        <v>0</v>
      </c>
      <c r="DC103" s="19">
        <f t="shared" si="31"/>
        <v>0</v>
      </c>
      <c r="DD103" s="19">
        <f t="shared" si="32"/>
        <v>0</v>
      </c>
      <c r="DE103" s="19">
        <f t="shared" si="33"/>
        <v>0</v>
      </c>
      <c r="DF103" s="19">
        <f t="shared" si="34"/>
        <v>0</v>
      </c>
      <c r="DG103" s="19">
        <f t="shared" si="35"/>
        <v>0</v>
      </c>
      <c r="DH103" s="20">
        <f t="shared" si="36"/>
        <v>0</v>
      </c>
      <c r="DI103" s="20">
        <f t="shared" si="37"/>
        <v>0</v>
      </c>
      <c r="DJ103" s="2"/>
    </row>
    <row r="104" spans="45:114" x14ac:dyDescent="0.3">
      <c r="CB104" s="18"/>
      <c r="CC104" s="19"/>
      <c r="CD104" s="19"/>
      <c r="CE104" s="19"/>
      <c r="CF104" s="19"/>
      <c r="CG104" s="19"/>
      <c r="CH104" s="19"/>
      <c r="CI104" s="20"/>
      <c r="CJ104" s="20"/>
      <c r="CN104" s="18"/>
      <c r="CO104" s="19"/>
      <c r="CP104" s="19"/>
      <c r="CQ104" s="19"/>
      <c r="CR104" s="19"/>
      <c r="CS104" s="19"/>
      <c r="CT104" s="19"/>
      <c r="CU104" s="20"/>
      <c r="CV104" s="20"/>
      <c r="DA104" s="18">
        <f t="shared" si="29"/>
        <v>0</v>
      </c>
      <c r="DB104" s="19">
        <f t="shared" si="30"/>
        <v>0</v>
      </c>
      <c r="DC104" s="19">
        <f t="shared" si="31"/>
        <v>0</v>
      </c>
      <c r="DD104" s="19">
        <f t="shared" si="32"/>
        <v>0</v>
      </c>
      <c r="DE104" s="19">
        <f t="shared" si="33"/>
        <v>0</v>
      </c>
      <c r="DF104" s="19">
        <f t="shared" si="34"/>
        <v>0</v>
      </c>
      <c r="DG104" s="19">
        <f t="shared" si="35"/>
        <v>0</v>
      </c>
      <c r="DH104" s="20">
        <f t="shared" si="36"/>
        <v>0</v>
      </c>
      <c r="DI104" s="20">
        <f t="shared" si="37"/>
        <v>0</v>
      </c>
      <c r="DJ104" s="2"/>
    </row>
    <row r="105" spans="45:114" x14ac:dyDescent="0.3">
      <c r="CB105" s="18"/>
      <c r="CC105" s="19"/>
      <c r="CD105" s="19"/>
      <c r="CE105" s="19"/>
      <c r="CF105" s="19"/>
      <c r="CG105" s="19"/>
      <c r="CH105" s="19"/>
      <c r="CI105" s="20"/>
      <c r="CJ105" s="20"/>
      <c r="CN105" s="18"/>
      <c r="CO105" s="19"/>
      <c r="CP105" s="19"/>
      <c r="CQ105" s="19"/>
      <c r="CR105" s="19"/>
      <c r="CS105" s="19"/>
      <c r="CT105" s="19"/>
      <c r="CU105" s="20"/>
      <c r="CV105" s="20"/>
      <c r="DA105" s="18">
        <f t="shared" si="29"/>
        <v>0</v>
      </c>
      <c r="DB105" s="19">
        <f t="shared" si="30"/>
        <v>0</v>
      </c>
      <c r="DC105" s="19">
        <f t="shared" si="31"/>
        <v>0</v>
      </c>
      <c r="DD105" s="19">
        <f t="shared" si="32"/>
        <v>0</v>
      </c>
      <c r="DE105" s="19">
        <f t="shared" si="33"/>
        <v>0</v>
      </c>
      <c r="DF105" s="19">
        <f t="shared" si="34"/>
        <v>0</v>
      </c>
      <c r="DG105" s="19">
        <f t="shared" si="35"/>
        <v>0</v>
      </c>
      <c r="DH105" s="20">
        <f t="shared" si="36"/>
        <v>0</v>
      </c>
      <c r="DI105" s="20">
        <f t="shared" si="37"/>
        <v>0</v>
      </c>
      <c r="DJ105" s="2"/>
    </row>
    <row r="106" spans="45:114" x14ac:dyDescent="0.3">
      <c r="CB106" s="18"/>
      <c r="CC106" s="19"/>
      <c r="CD106" s="19"/>
      <c r="CE106" s="19"/>
      <c r="CF106" s="19"/>
      <c r="CG106" s="19"/>
      <c r="CH106" s="19"/>
      <c r="CI106" s="20"/>
      <c r="CJ106" s="20"/>
      <c r="CN106" s="18"/>
      <c r="CO106" s="19"/>
      <c r="CP106" s="19"/>
      <c r="CQ106" s="19"/>
      <c r="CR106" s="19"/>
      <c r="CS106" s="19"/>
      <c r="CT106" s="19"/>
      <c r="CU106" s="20"/>
      <c r="CV106" s="20"/>
      <c r="DA106" s="18">
        <f t="shared" si="29"/>
        <v>0</v>
      </c>
      <c r="DB106" s="19">
        <f t="shared" si="30"/>
        <v>0</v>
      </c>
      <c r="DC106" s="19">
        <f t="shared" si="31"/>
        <v>0</v>
      </c>
      <c r="DD106" s="19">
        <f t="shared" si="32"/>
        <v>0</v>
      </c>
      <c r="DE106" s="19">
        <f t="shared" si="33"/>
        <v>0</v>
      </c>
      <c r="DF106" s="19">
        <f t="shared" si="34"/>
        <v>0</v>
      </c>
      <c r="DG106" s="19">
        <f t="shared" si="35"/>
        <v>0</v>
      </c>
      <c r="DH106" s="20">
        <f t="shared" si="36"/>
        <v>0</v>
      </c>
      <c r="DI106" s="20">
        <f t="shared" si="37"/>
        <v>0</v>
      </c>
      <c r="DJ106" s="2"/>
    </row>
    <row r="107" spans="45:114" x14ac:dyDescent="0.3">
      <c r="CB107" s="18"/>
      <c r="CC107" s="19"/>
      <c r="CD107" s="19"/>
      <c r="CE107" s="19"/>
      <c r="CF107" s="19"/>
      <c r="CG107" s="19"/>
      <c r="CH107" s="19"/>
      <c r="CI107" s="20"/>
      <c r="CJ107" s="20"/>
      <c r="CN107" s="18"/>
      <c r="CO107" s="19"/>
      <c r="CP107" s="19"/>
      <c r="CQ107" s="19"/>
      <c r="CR107" s="19"/>
      <c r="CS107" s="19"/>
      <c r="CT107" s="19"/>
      <c r="CU107" s="20"/>
      <c r="CV107" s="20"/>
      <c r="DA107" s="18">
        <f t="shared" si="29"/>
        <v>0</v>
      </c>
      <c r="DB107" s="19">
        <f t="shared" si="30"/>
        <v>0</v>
      </c>
      <c r="DC107" s="19">
        <f t="shared" si="31"/>
        <v>0</v>
      </c>
      <c r="DD107" s="19">
        <f t="shared" si="32"/>
        <v>0</v>
      </c>
      <c r="DE107" s="19">
        <f t="shared" si="33"/>
        <v>0</v>
      </c>
      <c r="DF107" s="19">
        <f t="shared" si="34"/>
        <v>0</v>
      </c>
      <c r="DG107" s="19">
        <f t="shared" si="35"/>
        <v>0</v>
      </c>
      <c r="DH107" s="20">
        <f t="shared" si="36"/>
        <v>0</v>
      </c>
      <c r="DI107" s="20">
        <f t="shared" si="37"/>
        <v>0</v>
      </c>
      <c r="DJ107" s="2"/>
    </row>
    <row r="108" spans="45:114" x14ac:dyDescent="0.3">
      <c r="CB108" s="18"/>
      <c r="CC108" s="19"/>
      <c r="CD108" s="19"/>
      <c r="CE108" s="19"/>
      <c r="CF108" s="19"/>
      <c r="CG108" s="19"/>
      <c r="CH108" s="19"/>
      <c r="CI108" s="20"/>
      <c r="CJ108" s="20"/>
      <c r="CN108" s="18"/>
      <c r="CO108" s="19"/>
      <c r="CP108" s="19"/>
      <c r="CQ108" s="19"/>
      <c r="CR108" s="19"/>
      <c r="CS108" s="19"/>
      <c r="CT108" s="19"/>
      <c r="CU108" s="20"/>
      <c r="CV108" s="20"/>
      <c r="DA108" s="18">
        <f t="shared" si="29"/>
        <v>0</v>
      </c>
      <c r="DB108" s="19">
        <f t="shared" si="30"/>
        <v>0</v>
      </c>
      <c r="DC108" s="19">
        <f t="shared" si="31"/>
        <v>0</v>
      </c>
      <c r="DD108" s="19">
        <f t="shared" si="32"/>
        <v>0</v>
      </c>
      <c r="DE108" s="19">
        <f t="shared" si="33"/>
        <v>0</v>
      </c>
      <c r="DF108" s="19">
        <f t="shared" si="34"/>
        <v>0</v>
      </c>
      <c r="DG108" s="19">
        <f t="shared" si="35"/>
        <v>0</v>
      </c>
      <c r="DH108" s="20">
        <f t="shared" si="36"/>
        <v>0</v>
      </c>
      <c r="DI108" s="20">
        <f t="shared" si="37"/>
        <v>0</v>
      </c>
      <c r="DJ108" s="2"/>
    </row>
    <row r="109" spans="45:114" x14ac:dyDescent="0.3">
      <c r="CB109" s="18"/>
      <c r="CC109" s="19"/>
      <c r="CD109" s="19"/>
      <c r="CE109" s="19"/>
      <c r="CF109" s="19"/>
      <c r="CG109" s="19"/>
      <c r="CH109" s="19"/>
      <c r="CI109" s="20"/>
      <c r="CJ109" s="20"/>
      <c r="CN109" s="18"/>
      <c r="CO109" s="19"/>
      <c r="CP109" s="19"/>
      <c r="CQ109" s="19"/>
      <c r="CR109" s="19"/>
      <c r="CS109" s="19"/>
      <c r="CT109" s="19"/>
      <c r="CU109" s="20"/>
      <c r="CV109" s="20"/>
      <c r="DA109" s="18">
        <f t="shared" si="29"/>
        <v>0</v>
      </c>
      <c r="DB109" s="19">
        <f t="shared" si="30"/>
        <v>0</v>
      </c>
      <c r="DC109" s="19">
        <f t="shared" si="31"/>
        <v>0</v>
      </c>
      <c r="DD109" s="19">
        <f t="shared" si="32"/>
        <v>0</v>
      </c>
      <c r="DE109" s="19">
        <f t="shared" si="33"/>
        <v>0</v>
      </c>
      <c r="DF109" s="19">
        <f t="shared" si="34"/>
        <v>0</v>
      </c>
      <c r="DG109" s="19">
        <f t="shared" si="35"/>
        <v>0</v>
      </c>
      <c r="DH109" s="20">
        <f t="shared" si="36"/>
        <v>0</v>
      </c>
      <c r="DI109" s="20">
        <f t="shared" si="37"/>
        <v>0</v>
      </c>
      <c r="DJ109" s="2"/>
    </row>
    <row r="110" spans="45:114" x14ac:dyDescent="0.3">
      <c r="CB110" s="18"/>
      <c r="CC110" s="19"/>
      <c r="CD110" s="19"/>
      <c r="CE110" s="19"/>
      <c r="CF110" s="19"/>
      <c r="CG110" s="19"/>
      <c r="CH110" s="19"/>
      <c r="CI110" s="20"/>
      <c r="CJ110" s="20"/>
      <c r="CN110" s="18"/>
      <c r="CO110" s="19"/>
      <c r="CP110" s="19"/>
      <c r="CQ110" s="19"/>
      <c r="CR110" s="19"/>
      <c r="CS110" s="19"/>
      <c r="CT110" s="19"/>
      <c r="CU110" s="20"/>
      <c r="CV110" s="20"/>
      <c r="DA110" s="18">
        <f t="shared" si="29"/>
        <v>0</v>
      </c>
      <c r="DB110" s="19">
        <f t="shared" si="30"/>
        <v>0</v>
      </c>
      <c r="DC110" s="19">
        <f t="shared" si="31"/>
        <v>0</v>
      </c>
      <c r="DD110" s="19">
        <f t="shared" si="32"/>
        <v>0</v>
      </c>
      <c r="DE110" s="19">
        <f t="shared" si="33"/>
        <v>0</v>
      </c>
      <c r="DF110" s="19">
        <f t="shared" si="34"/>
        <v>0</v>
      </c>
      <c r="DG110" s="19">
        <f t="shared" si="35"/>
        <v>0</v>
      </c>
      <c r="DH110" s="20">
        <f t="shared" si="36"/>
        <v>0</v>
      </c>
      <c r="DI110" s="20">
        <f t="shared" si="37"/>
        <v>0</v>
      </c>
      <c r="DJ110" s="2"/>
    </row>
    <row r="111" spans="45:114" x14ac:dyDescent="0.3">
      <c r="CB111" s="18"/>
      <c r="CC111" s="19"/>
      <c r="CD111" s="19"/>
      <c r="CE111" s="19"/>
      <c r="CF111" s="19"/>
      <c r="CG111" s="19"/>
      <c r="CH111" s="19"/>
      <c r="CI111" s="20"/>
      <c r="CJ111" s="20"/>
      <c r="CN111" s="18"/>
      <c r="CO111" s="19"/>
      <c r="CP111" s="19"/>
      <c r="CQ111" s="19"/>
      <c r="CR111" s="19"/>
      <c r="CS111" s="19"/>
      <c r="CT111" s="19"/>
      <c r="CU111" s="20"/>
      <c r="CV111" s="20"/>
      <c r="DA111" s="18">
        <f t="shared" si="29"/>
        <v>0</v>
      </c>
      <c r="DB111" s="19">
        <f t="shared" si="30"/>
        <v>0</v>
      </c>
      <c r="DC111" s="19">
        <f t="shared" si="31"/>
        <v>0</v>
      </c>
      <c r="DD111" s="19">
        <f t="shared" si="32"/>
        <v>0</v>
      </c>
      <c r="DE111" s="19">
        <f t="shared" si="33"/>
        <v>0</v>
      </c>
      <c r="DF111" s="19">
        <f t="shared" si="34"/>
        <v>0</v>
      </c>
      <c r="DG111" s="19">
        <f t="shared" si="35"/>
        <v>0</v>
      </c>
      <c r="DH111" s="20">
        <f t="shared" si="36"/>
        <v>0</v>
      </c>
      <c r="DI111" s="20">
        <f t="shared" si="37"/>
        <v>0</v>
      </c>
      <c r="DJ111" s="2"/>
    </row>
    <row r="112" spans="45:114" x14ac:dyDescent="0.3">
      <c r="CB112" s="18"/>
      <c r="CC112" s="19"/>
      <c r="CD112" s="19"/>
      <c r="CE112" s="19"/>
      <c r="CF112" s="19"/>
      <c r="CG112" s="19"/>
      <c r="CH112" s="19"/>
      <c r="CI112" s="20"/>
      <c r="CJ112" s="20"/>
      <c r="CN112" s="18"/>
      <c r="CO112" s="19"/>
      <c r="CP112" s="19"/>
      <c r="CQ112" s="19"/>
      <c r="CR112" s="19"/>
      <c r="CS112" s="19"/>
      <c r="CT112" s="19"/>
      <c r="CU112" s="20"/>
      <c r="CV112" s="20"/>
      <c r="DA112" s="18">
        <f t="shared" si="29"/>
        <v>0</v>
      </c>
      <c r="DB112" s="19">
        <f t="shared" si="30"/>
        <v>0</v>
      </c>
      <c r="DC112" s="19">
        <f t="shared" si="31"/>
        <v>0</v>
      </c>
      <c r="DD112" s="19">
        <f t="shared" si="32"/>
        <v>0</v>
      </c>
      <c r="DE112" s="19">
        <f t="shared" si="33"/>
        <v>0</v>
      </c>
      <c r="DF112" s="19">
        <f t="shared" si="34"/>
        <v>0</v>
      </c>
      <c r="DG112" s="19">
        <f t="shared" si="35"/>
        <v>0</v>
      </c>
      <c r="DH112" s="20">
        <f t="shared" si="36"/>
        <v>0</v>
      </c>
      <c r="DI112" s="20">
        <f t="shared" si="37"/>
        <v>0</v>
      </c>
      <c r="DJ112" s="2"/>
    </row>
    <row r="113" spans="80:114" x14ac:dyDescent="0.3">
      <c r="CB113" s="18"/>
      <c r="CC113" s="19"/>
      <c r="CD113" s="19"/>
      <c r="CE113" s="19"/>
      <c r="CF113" s="19"/>
      <c r="CG113" s="19"/>
      <c r="CH113" s="19"/>
      <c r="CI113" s="20"/>
      <c r="CJ113" s="20"/>
      <c r="CN113" s="18"/>
      <c r="CO113" s="19"/>
      <c r="CP113" s="19"/>
      <c r="CQ113" s="19"/>
      <c r="CR113" s="19"/>
      <c r="CS113" s="19"/>
      <c r="CT113" s="19"/>
      <c r="CU113" s="20"/>
      <c r="CV113" s="20"/>
      <c r="DA113" s="18">
        <f t="shared" si="29"/>
        <v>0</v>
      </c>
      <c r="DB113" s="19">
        <f t="shared" si="30"/>
        <v>0</v>
      </c>
      <c r="DC113" s="19">
        <f t="shared" si="31"/>
        <v>0</v>
      </c>
      <c r="DD113" s="19">
        <f t="shared" si="32"/>
        <v>0</v>
      </c>
      <c r="DE113" s="19">
        <f t="shared" si="33"/>
        <v>0</v>
      </c>
      <c r="DF113" s="19">
        <f t="shared" si="34"/>
        <v>0</v>
      </c>
      <c r="DG113" s="19">
        <f t="shared" si="35"/>
        <v>0</v>
      </c>
      <c r="DH113" s="20">
        <f t="shared" si="36"/>
        <v>0</v>
      </c>
      <c r="DI113" s="20">
        <f t="shared" si="37"/>
        <v>0</v>
      </c>
      <c r="DJ113" s="2"/>
    </row>
    <row r="114" spans="80:114" x14ac:dyDescent="0.3">
      <c r="CB114" s="18"/>
      <c r="CC114" s="19"/>
      <c r="CD114" s="19"/>
      <c r="CE114" s="19"/>
      <c r="CF114" s="19"/>
      <c r="CG114" s="19"/>
      <c r="CH114" s="19"/>
      <c r="CI114" s="20"/>
      <c r="CJ114" s="20"/>
      <c r="CN114" s="18"/>
      <c r="CO114" s="19"/>
      <c r="CP114" s="19"/>
      <c r="CQ114" s="19"/>
      <c r="CR114" s="19"/>
      <c r="CS114" s="19"/>
      <c r="CT114" s="19"/>
      <c r="CU114" s="20"/>
      <c r="CV114" s="20"/>
      <c r="DA114" s="18">
        <f t="shared" si="29"/>
        <v>0</v>
      </c>
      <c r="DB114" s="19">
        <f t="shared" si="30"/>
        <v>0</v>
      </c>
      <c r="DC114" s="19">
        <f t="shared" si="31"/>
        <v>0</v>
      </c>
      <c r="DD114" s="19">
        <f t="shared" si="32"/>
        <v>0</v>
      </c>
      <c r="DE114" s="19">
        <f t="shared" si="33"/>
        <v>0</v>
      </c>
      <c r="DF114" s="19">
        <f t="shared" si="34"/>
        <v>0</v>
      </c>
      <c r="DG114" s="19">
        <f t="shared" si="35"/>
        <v>0</v>
      </c>
      <c r="DH114" s="20">
        <f t="shared" si="36"/>
        <v>0</v>
      </c>
      <c r="DI114" s="20">
        <f t="shared" si="37"/>
        <v>0</v>
      </c>
      <c r="DJ114" s="2"/>
    </row>
    <row r="115" spans="80:114" x14ac:dyDescent="0.3">
      <c r="CB115" s="18"/>
      <c r="CC115" s="19"/>
      <c r="CD115" s="19"/>
      <c r="CE115" s="19"/>
      <c r="CF115" s="19"/>
      <c r="CG115" s="19"/>
      <c r="CH115" s="19"/>
      <c r="CI115" s="20"/>
      <c r="CJ115" s="20"/>
      <c r="CN115" s="18"/>
      <c r="CO115" s="19"/>
      <c r="CP115" s="19"/>
      <c r="CQ115" s="19"/>
      <c r="CR115" s="19"/>
      <c r="CS115" s="19"/>
      <c r="CT115" s="19"/>
      <c r="CU115" s="20"/>
      <c r="CV115" s="20"/>
      <c r="DA115" s="18">
        <f t="shared" si="29"/>
        <v>0</v>
      </c>
      <c r="DB115" s="19">
        <f t="shared" si="30"/>
        <v>0</v>
      </c>
      <c r="DC115" s="19">
        <f t="shared" si="31"/>
        <v>0</v>
      </c>
      <c r="DD115" s="19">
        <f t="shared" si="32"/>
        <v>0</v>
      </c>
      <c r="DE115" s="19">
        <f t="shared" si="33"/>
        <v>0</v>
      </c>
      <c r="DF115" s="19">
        <f t="shared" si="34"/>
        <v>0</v>
      </c>
      <c r="DG115" s="19">
        <f t="shared" si="35"/>
        <v>0</v>
      </c>
      <c r="DH115" s="20">
        <f t="shared" si="36"/>
        <v>0</v>
      </c>
      <c r="DI115" s="20">
        <f t="shared" si="37"/>
        <v>0</v>
      </c>
      <c r="DJ115" s="2"/>
    </row>
    <row r="116" spans="80:114" x14ac:dyDescent="0.3">
      <c r="CB116" s="18"/>
      <c r="CC116" s="19"/>
      <c r="CD116" s="19"/>
      <c r="CE116" s="19"/>
      <c r="CF116" s="19"/>
      <c r="CG116" s="19"/>
      <c r="CH116" s="19"/>
      <c r="CI116" s="20"/>
      <c r="CJ116" s="20"/>
      <c r="CN116" s="18"/>
      <c r="CO116" s="19"/>
      <c r="CP116" s="19"/>
      <c r="CQ116" s="19"/>
      <c r="CR116" s="19"/>
      <c r="CS116" s="19"/>
      <c r="CT116" s="19"/>
      <c r="CU116" s="20"/>
      <c r="CV116" s="20"/>
      <c r="DA116" s="18">
        <f t="shared" si="29"/>
        <v>0</v>
      </c>
      <c r="DB116" s="19">
        <f t="shared" si="30"/>
        <v>0</v>
      </c>
      <c r="DC116" s="19">
        <f t="shared" si="31"/>
        <v>0</v>
      </c>
      <c r="DD116" s="19">
        <f t="shared" si="32"/>
        <v>0</v>
      </c>
      <c r="DE116" s="19">
        <f t="shared" si="33"/>
        <v>0</v>
      </c>
      <c r="DF116" s="19">
        <f t="shared" si="34"/>
        <v>0</v>
      </c>
      <c r="DG116" s="19">
        <f t="shared" si="35"/>
        <v>0</v>
      </c>
      <c r="DH116" s="20">
        <f t="shared" si="36"/>
        <v>0</v>
      </c>
      <c r="DI116" s="20">
        <f t="shared" si="37"/>
        <v>0</v>
      </c>
      <c r="DJ116" s="2"/>
    </row>
    <row r="117" spans="80:114" x14ac:dyDescent="0.3">
      <c r="CB117" s="18"/>
      <c r="CC117" s="19"/>
      <c r="CD117" s="19"/>
      <c r="CE117" s="19"/>
      <c r="CF117" s="19"/>
      <c r="CG117" s="19"/>
      <c r="CH117" s="19"/>
      <c r="CI117" s="20"/>
      <c r="CJ117" s="20"/>
      <c r="CN117" s="18"/>
      <c r="CO117" s="19"/>
      <c r="CP117" s="19"/>
      <c r="CQ117" s="19"/>
      <c r="CR117" s="19"/>
      <c r="CS117" s="19"/>
      <c r="CT117" s="19"/>
      <c r="CU117" s="20"/>
      <c r="CV117" s="20"/>
      <c r="DA117" s="18">
        <f t="shared" si="29"/>
        <v>0</v>
      </c>
      <c r="DB117" s="19">
        <f t="shared" si="30"/>
        <v>0</v>
      </c>
      <c r="DC117" s="19">
        <f t="shared" si="31"/>
        <v>0</v>
      </c>
      <c r="DD117" s="19">
        <f t="shared" si="32"/>
        <v>0</v>
      </c>
      <c r="DE117" s="19">
        <f t="shared" si="33"/>
        <v>0</v>
      </c>
      <c r="DF117" s="19">
        <f t="shared" si="34"/>
        <v>0</v>
      </c>
      <c r="DG117" s="19">
        <f t="shared" si="35"/>
        <v>0</v>
      </c>
      <c r="DH117" s="20">
        <f t="shared" si="36"/>
        <v>0</v>
      </c>
      <c r="DI117" s="20">
        <f t="shared" si="37"/>
        <v>0</v>
      </c>
      <c r="DJ117" s="2"/>
    </row>
    <row r="118" spans="80:114" x14ac:dyDescent="0.3">
      <c r="CB118" s="18"/>
      <c r="CC118" s="19"/>
      <c r="CD118" s="19"/>
      <c r="CE118" s="19"/>
      <c r="CF118" s="19"/>
      <c r="CG118" s="19"/>
      <c r="CH118" s="19"/>
      <c r="CI118" s="20"/>
      <c r="CJ118" s="20"/>
      <c r="CN118" s="18"/>
      <c r="CO118" s="19"/>
      <c r="CP118" s="19"/>
      <c r="CQ118" s="19"/>
      <c r="CR118" s="19"/>
      <c r="CS118" s="19"/>
      <c r="CT118" s="19"/>
      <c r="CU118" s="20"/>
      <c r="CV118" s="20"/>
      <c r="DA118" s="18">
        <f t="shared" si="29"/>
        <v>0</v>
      </c>
      <c r="DB118" s="19">
        <f t="shared" si="30"/>
        <v>0</v>
      </c>
      <c r="DC118" s="19">
        <f t="shared" si="31"/>
        <v>0</v>
      </c>
      <c r="DD118" s="19">
        <f t="shared" si="32"/>
        <v>0</v>
      </c>
      <c r="DE118" s="19">
        <f t="shared" si="33"/>
        <v>0</v>
      </c>
      <c r="DF118" s="19">
        <f t="shared" si="34"/>
        <v>0</v>
      </c>
      <c r="DG118" s="19">
        <f t="shared" si="35"/>
        <v>0</v>
      </c>
      <c r="DH118" s="20">
        <f t="shared" si="36"/>
        <v>0</v>
      </c>
      <c r="DI118" s="20">
        <f t="shared" si="37"/>
        <v>0</v>
      </c>
      <c r="DJ118" s="2"/>
    </row>
    <row r="119" spans="80:114" x14ac:dyDescent="0.3">
      <c r="CB119" s="18"/>
      <c r="CC119" s="19"/>
      <c r="CD119" s="19"/>
      <c r="CE119" s="19"/>
      <c r="CF119" s="19"/>
      <c r="CG119" s="19"/>
      <c r="CH119" s="19"/>
      <c r="CI119" s="20"/>
      <c r="CJ119" s="20"/>
      <c r="CN119" s="18"/>
      <c r="CO119" s="19"/>
      <c r="CP119" s="19"/>
      <c r="CQ119" s="19"/>
      <c r="CR119" s="19"/>
      <c r="CS119" s="19"/>
      <c r="CT119" s="19"/>
      <c r="CU119" s="20"/>
      <c r="CV119" s="20"/>
      <c r="DA119" s="18">
        <f t="shared" si="29"/>
        <v>0</v>
      </c>
      <c r="DB119" s="19">
        <f t="shared" si="30"/>
        <v>0</v>
      </c>
      <c r="DC119" s="19">
        <f t="shared" si="31"/>
        <v>0</v>
      </c>
      <c r="DD119" s="19">
        <f t="shared" si="32"/>
        <v>0</v>
      </c>
      <c r="DE119" s="19">
        <f t="shared" si="33"/>
        <v>0</v>
      </c>
      <c r="DF119" s="19">
        <f t="shared" si="34"/>
        <v>0</v>
      </c>
      <c r="DG119" s="19">
        <f t="shared" si="35"/>
        <v>0</v>
      </c>
      <c r="DH119" s="20">
        <f t="shared" si="36"/>
        <v>0</v>
      </c>
      <c r="DI119" s="20">
        <f t="shared" si="37"/>
        <v>0</v>
      </c>
      <c r="DJ119" s="2"/>
    </row>
    <row r="120" spans="80:114" x14ac:dyDescent="0.3">
      <c r="CB120" s="18"/>
      <c r="CC120" s="19"/>
      <c r="CD120" s="19"/>
      <c r="CE120" s="19"/>
      <c r="CF120" s="19"/>
      <c r="CG120" s="19"/>
      <c r="CH120" s="19"/>
      <c r="CI120" s="20"/>
      <c r="CJ120" s="20"/>
      <c r="CN120" s="18"/>
      <c r="CO120" s="19"/>
      <c r="CP120" s="19"/>
      <c r="CQ120" s="19"/>
      <c r="CR120" s="19"/>
      <c r="CS120" s="19"/>
      <c r="CT120" s="19"/>
      <c r="CU120" s="20"/>
      <c r="CV120" s="20"/>
      <c r="DA120" s="18">
        <f t="shared" si="29"/>
        <v>0</v>
      </c>
      <c r="DB120" s="19">
        <f t="shared" si="30"/>
        <v>0</v>
      </c>
      <c r="DC120" s="19">
        <f t="shared" si="31"/>
        <v>0</v>
      </c>
      <c r="DD120" s="19">
        <f t="shared" si="32"/>
        <v>0</v>
      </c>
      <c r="DE120" s="19">
        <f t="shared" si="33"/>
        <v>0</v>
      </c>
      <c r="DF120" s="19">
        <f t="shared" si="34"/>
        <v>0</v>
      </c>
      <c r="DG120" s="19">
        <f t="shared" si="35"/>
        <v>0</v>
      </c>
      <c r="DH120" s="20">
        <f t="shared" si="36"/>
        <v>0</v>
      </c>
      <c r="DI120" s="20">
        <f t="shared" si="37"/>
        <v>0</v>
      </c>
      <c r="DJ120" s="2"/>
    </row>
    <row r="121" spans="80:114" x14ac:dyDescent="0.3">
      <c r="CB121" s="18"/>
      <c r="CC121" s="19"/>
      <c r="CD121" s="19"/>
      <c r="CE121" s="19"/>
      <c r="CF121" s="19"/>
      <c r="CG121" s="19"/>
      <c r="CH121" s="19"/>
      <c r="CI121" s="20"/>
      <c r="CJ121" s="20"/>
      <c r="CN121" s="18"/>
      <c r="CO121" s="19"/>
      <c r="CP121" s="19"/>
      <c r="CQ121" s="19"/>
      <c r="CR121" s="19"/>
      <c r="CS121" s="19"/>
      <c r="CT121" s="19"/>
      <c r="CU121" s="20"/>
      <c r="CV121" s="20"/>
      <c r="DA121" s="18">
        <f t="shared" si="29"/>
        <v>0</v>
      </c>
      <c r="DB121" s="19">
        <f t="shared" si="30"/>
        <v>0</v>
      </c>
      <c r="DC121" s="19">
        <f t="shared" si="31"/>
        <v>0</v>
      </c>
      <c r="DD121" s="19">
        <f t="shared" si="32"/>
        <v>0</v>
      </c>
      <c r="DE121" s="19">
        <f t="shared" si="33"/>
        <v>0</v>
      </c>
      <c r="DF121" s="19">
        <f t="shared" si="34"/>
        <v>0</v>
      </c>
      <c r="DG121" s="19">
        <f t="shared" si="35"/>
        <v>0</v>
      </c>
      <c r="DH121" s="20">
        <f t="shared" si="36"/>
        <v>0</v>
      </c>
      <c r="DI121" s="20">
        <f t="shared" si="37"/>
        <v>0</v>
      </c>
      <c r="DJ121" s="2"/>
    </row>
    <row r="122" spans="80:114" x14ac:dyDescent="0.3">
      <c r="CB122" s="18"/>
      <c r="CC122" s="19"/>
      <c r="CD122" s="19"/>
      <c r="CE122" s="19"/>
      <c r="CF122" s="19"/>
      <c r="CG122" s="19"/>
      <c r="CH122" s="19"/>
      <c r="CI122" s="20"/>
      <c r="CJ122" s="20"/>
      <c r="CN122" s="18"/>
      <c r="CO122" s="19"/>
      <c r="CP122" s="19"/>
      <c r="CQ122" s="19"/>
      <c r="CR122" s="19"/>
      <c r="CS122" s="19"/>
      <c r="CT122" s="19"/>
      <c r="CU122" s="20"/>
      <c r="CV122" s="20"/>
      <c r="DA122" s="18">
        <f t="shared" si="29"/>
        <v>0</v>
      </c>
      <c r="DB122" s="19">
        <f t="shared" si="30"/>
        <v>0</v>
      </c>
      <c r="DC122" s="19">
        <f t="shared" si="31"/>
        <v>0</v>
      </c>
      <c r="DD122" s="19">
        <f t="shared" si="32"/>
        <v>0</v>
      </c>
      <c r="DE122" s="19">
        <f t="shared" si="33"/>
        <v>0</v>
      </c>
      <c r="DF122" s="19">
        <f t="shared" si="34"/>
        <v>0</v>
      </c>
      <c r="DG122" s="19">
        <f t="shared" si="35"/>
        <v>0</v>
      </c>
      <c r="DH122" s="20">
        <f t="shared" si="36"/>
        <v>0</v>
      </c>
      <c r="DI122" s="20">
        <f t="shared" si="37"/>
        <v>0</v>
      </c>
      <c r="DJ122" s="2"/>
    </row>
    <row r="123" spans="80:114" x14ac:dyDescent="0.3">
      <c r="CB123" s="18"/>
      <c r="CC123" s="19"/>
      <c r="CD123" s="19"/>
      <c r="CE123" s="19"/>
      <c r="CF123" s="19"/>
      <c r="CG123" s="19"/>
      <c r="CH123" s="19"/>
      <c r="CI123" s="20"/>
      <c r="CJ123" s="20"/>
      <c r="CN123" s="18"/>
      <c r="CO123" s="19"/>
      <c r="CP123" s="19"/>
      <c r="CQ123" s="19"/>
      <c r="CR123" s="19"/>
      <c r="CS123" s="19"/>
      <c r="CT123" s="19"/>
      <c r="CU123" s="20"/>
      <c r="CV123" s="20"/>
      <c r="DA123" s="18">
        <f t="shared" si="29"/>
        <v>0</v>
      </c>
      <c r="DB123" s="19">
        <f t="shared" si="30"/>
        <v>0</v>
      </c>
      <c r="DC123" s="19">
        <f t="shared" si="31"/>
        <v>0</v>
      </c>
      <c r="DD123" s="19">
        <f t="shared" si="32"/>
        <v>0</v>
      </c>
      <c r="DE123" s="19">
        <f t="shared" si="33"/>
        <v>0</v>
      </c>
      <c r="DF123" s="19">
        <f t="shared" si="34"/>
        <v>0</v>
      </c>
      <c r="DG123" s="19">
        <f t="shared" si="35"/>
        <v>0</v>
      </c>
      <c r="DH123" s="20">
        <f t="shared" si="36"/>
        <v>0</v>
      </c>
      <c r="DI123" s="20">
        <f t="shared" si="37"/>
        <v>0</v>
      </c>
      <c r="DJ123" s="2"/>
    </row>
    <row r="124" spans="80:114" x14ac:dyDescent="0.3">
      <c r="CB124" s="18"/>
      <c r="CC124" s="19"/>
      <c r="CD124" s="19"/>
      <c r="CE124" s="19"/>
      <c r="CF124" s="19"/>
      <c r="CG124" s="19"/>
      <c r="CH124" s="19"/>
      <c r="CI124" s="20"/>
      <c r="CJ124" s="20"/>
      <c r="CN124" s="18"/>
      <c r="CO124" s="19"/>
      <c r="CP124" s="19"/>
      <c r="CQ124" s="19"/>
      <c r="CR124" s="19"/>
      <c r="CS124" s="19"/>
      <c r="CT124" s="19"/>
      <c r="CU124" s="20"/>
      <c r="CV124" s="20"/>
      <c r="DA124" s="18">
        <f t="shared" si="29"/>
        <v>0</v>
      </c>
      <c r="DB124" s="19">
        <f t="shared" si="30"/>
        <v>0</v>
      </c>
      <c r="DC124" s="19">
        <f t="shared" si="31"/>
        <v>0</v>
      </c>
      <c r="DD124" s="19">
        <f t="shared" si="32"/>
        <v>0</v>
      </c>
      <c r="DE124" s="19">
        <f t="shared" si="33"/>
        <v>0</v>
      </c>
      <c r="DF124" s="19">
        <f t="shared" si="34"/>
        <v>0</v>
      </c>
      <c r="DG124" s="19">
        <f t="shared" si="35"/>
        <v>0</v>
      </c>
      <c r="DH124" s="20">
        <f t="shared" si="36"/>
        <v>0</v>
      </c>
      <c r="DI124" s="20">
        <f t="shared" si="37"/>
        <v>0</v>
      </c>
      <c r="DJ124" s="2"/>
    </row>
    <row r="125" spans="80:114" x14ac:dyDescent="0.3">
      <c r="CB125" s="18"/>
      <c r="CC125" s="19"/>
      <c r="CD125" s="19"/>
      <c r="CE125" s="19"/>
      <c r="CF125" s="19"/>
      <c r="CG125" s="19"/>
      <c r="CH125" s="19"/>
      <c r="CI125" s="20"/>
      <c r="CJ125" s="20"/>
      <c r="CN125" s="18"/>
      <c r="CO125" s="19"/>
      <c r="CP125" s="19"/>
      <c r="CQ125" s="19"/>
      <c r="CR125" s="19"/>
      <c r="CS125" s="19"/>
      <c r="CT125" s="19"/>
      <c r="CU125" s="20"/>
      <c r="CV125" s="20"/>
      <c r="DA125" s="18">
        <f t="shared" si="29"/>
        <v>0</v>
      </c>
      <c r="DB125" s="19">
        <f t="shared" si="30"/>
        <v>0</v>
      </c>
      <c r="DC125" s="19">
        <f t="shared" si="31"/>
        <v>0</v>
      </c>
      <c r="DD125" s="19">
        <f t="shared" si="32"/>
        <v>0</v>
      </c>
      <c r="DE125" s="19">
        <f t="shared" si="33"/>
        <v>0</v>
      </c>
      <c r="DF125" s="19">
        <f t="shared" si="34"/>
        <v>0</v>
      </c>
      <c r="DG125" s="19">
        <f t="shared" si="35"/>
        <v>0</v>
      </c>
      <c r="DH125" s="20">
        <f t="shared" si="36"/>
        <v>0</v>
      </c>
      <c r="DI125" s="20">
        <f t="shared" si="37"/>
        <v>0</v>
      </c>
      <c r="DJ125" s="2"/>
    </row>
    <row r="126" spans="80:114" x14ac:dyDescent="0.3">
      <c r="CB126" s="18"/>
      <c r="CC126" s="19"/>
      <c r="CD126" s="19"/>
      <c r="CE126" s="19"/>
      <c r="CF126" s="19"/>
      <c r="CG126" s="19"/>
      <c r="CH126" s="19"/>
      <c r="CI126" s="20"/>
      <c r="CJ126" s="20"/>
      <c r="CN126" s="18"/>
      <c r="CO126" s="19"/>
      <c r="CP126" s="19"/>
      <c r="CQ126" s="19"/>
      <c r="CR126" s="19"/>
      <c r="CS126" s="19"/>
      <c r="CT126" s="19"/>
      <c r="CU126" s="20"/>
      <c r="CV126" s="20"/>
      <c r="DA126" s="18">
        <f t="shared" si="29"/>
        <v>0</v>
      </c>
      <c r="DB126" s="19">
        <f t="shared" si="30"/>
        <v>0</v>
      </c>
      <c r="DC126" s="19">
        <f t="shared" si="31"/>
        <v>0</v>
      </c>
      <c r="DD126" s="19">
        <f t="shared" si="32"/>
        <v>0</v>
      </c>
      <c r="DE126" s="19">
        <f t="shared" si="33"/>
        <v>0</v>
      </c>
      <c r="DF126" s="19">
        <f t="shared" si="34"/>
        <v>0</v>
      </c>
      <c r="DG126" s="19">
        <f t="shared" si="35"/>
        <v>0</v>
      </c>
      <c r="DH126" s="20">
        <f t="shared" si="36"/>
        <v>0</v>
      </c>
      <c r="DI126" s="20">
        <f t="shared" si="37"/>
        <v>0</v>
      </c>
      <c r="DJ126" s="2"/>
    </row>
    <row r="127" spans="80:114" x14ac:dyDescent="0.3">
      <c r="CB127" s="18"/>
      <c r="CC127" s="19"/>
      <c r="CD127" s="19"/>
      <c r="CE127" s="19"/>
      <c r="CF127" s="19"/>
      <c r="CG127" s="19"/>
      <c r="CH127" s="19"/>
      <c r="CI127" s="20"/>
      <c r="CJ127" s="20"/>
      <c r="CN127" s="18"/>
      <c r="CO127" s="19"/>
      <c r="CP127" s="19"/>
      <c r="CQ127" s="19"/>
      <c r="CR127" s="19"/>
      <c r="CS127" s="19"/>
      <c r="CT127" s="19"/>
      <c r="CU127" s="20"/>
      <c r="CV127" s="20"/>
      <c r="DA127" s="18">
        <f t="shared" si="29"/>
        <v>0</v>
      </c>
      <c r="DB127" s="19">
        <f t="shared" si="30"/>
        <v>0</v>
      </c>
      <c r="DC127" s="19">
        <f t="shared" si="31"/>
        <v>0</v>
      </c>
      <c r="DD127" s="19">
        <f t="shared" si="32"/>
        <v>0</v>
      </c>
      <c r="DE127" s="19">
        <f t="shared" si="33"/>
        <v>0</v>
      </c>
      <c r="DF127" s="19">
        <f t="shared" si="34"/>
        <v>0</v>
      </c>
      <c r="DG127" s="19">
        <f t="shared" si="35"/>
        <v>0</v>
      </c>
      <c r="DH127" s="20">
        <f t="shared" si="36"/>
        <v>0</v>
      </c>
      <c r="DI127" s="20">
        <f t="shared" si="37"/>
        <v>0</v>
      </c>
      <c r="DJ127" s="2"/>
    </row>
    <row r="128" spans="80:114" x14ac:dyDescent="0.3">
      <c r="CB128" s="18"/>
      <c r="CC128" s="19"/>
      <c r="CD128" s="19"/>
      <c r="CE128" s="19"/>
      <c r="CF128" s="19"/>
      <c r="CG128" s="19"/>
      <c r="CH128" s="19"/>
      <c r="CI128" s="20"/>
      <c r="CJ128" s="20"/>
      <c r="CN128" s="18"/>
      <c r="CO128" s="19"/>
      <c r="CP128" s="19"/>
      <c r="CQ128" s="19"/>
      <c r="CR128" s="19"/>
      <c r="CS128" s="19"/>
      <c r="CT128" s="19"/>
      <c r="CU128" s="20"/>
      <c r="CV128" s="20"/>
      <c r="DA128" s="18">
        <f t="shared" si="29"/>
        <v>0</v>
      </c>
      <c r="DB128" s="19">
        <f t="shared" si="30"/>
        <v>0</v>
      </c>
      <c r="DC128" s="19">
        <f t="shared" si="31"/>
        <v>0</v>
      </c>
      <c r="DD128" s="19">
        <f t="shared" si="32"/>
        <v>0</v>
      </c>
      <c r="DE128" s="19">
        <f t="shared" si="33"/>
        <v>0</v>
      </c>
      <c r="DF128" s="19">
        <f t="shared" si="34"/>
        <v>0</v>
      </c>
      <c r="DG128" s="19">
        <f t="shared" si="35"/>
        <v>0</v>
      </c>
      <c r="DH128" s="20">
        <f t="shared" si="36"/>
        <v>0</v>
      </c>
      <c r="DI128" s="20">
        <f t="shared" si="37"/>
        <v>0</v>
      </c>
      <c r="DJ128" s="2"/>
    </row>
    <row r="129" spans="80:114" x14ac:dyDescent="0.3">
      <c r="CB129" s="18"/>
      <c r="CC129" s="19"/>
      <c r="CD129" s="19"/>
      <c r="CE129" s="19"/>
      <c r="CF129" s="19"/>
      <c r="CG129" s="19"/>
      <c r="CH129" s="19"/>
      <c r="CI129" s="20"/>
      <c r="CJ129" s="20"/>
      <c r="CN129" s="18"/>
      <c r="CO129" s="19"/>
      <c r="CP129" s="19"/>
      <c r="CQ129" s="19"/>
      <c r="CR129" s="19"/>
      <c r="CS129" s="19"/>
      <c r="CT129" s="19"/>
      <c r="CU129" s="20"/>
      <c r="CV129" s="20"/>
      <c r="DA129" s="18">
        <f t="shared" si="29"/>
        <v>0</v>
      </c>
      <c r="DB129" s="19">
        <f t="shared" si="30"/>
        <v>0</v>
      </c>
      <c r="DC129" s="19">
        <f t="shared" si="31"/>
        <v>0</v>
      </c>
      <c r="DD129" s="19">
        <f t="shared" si="32"/>
        <v>0</v>
      </c>
      <c r="DE129" s="19">
        <f t="shared" si="33"/>
        <v>0</v>
      </c>
      <c r="DF129" s="19">
        <f t="shared" si="34"/>
        <v>0</v>
      </c>
      <c r="DG129" s="19">
        <f t="shared" si="35"/>
        <v>0</v>
      </c>
      <c r="DH129" s="20">
        <f t="shared" si="36"/>
        <v>0</v>
      </c>
      <c r="DI129" s="20">
        <f t="shared" si="37"/>
        <v>0</v>
      </c>
      <c r="DJ129" s="2"/>
    </row>
    <row r="130" spans="80:114" x14ac:dyDescent="0.3">
      <c r="CB130" s="18"/>
      <c r="CC130" s="19"/>
      <c r="CD130" s="19"/>
      <c r="CE130" s="19"/>
      <c r="CF130" s="19"/>
      <c r="CG130" s="19"/>
      <c r="CH130" s="19"/>
      <c r="CI130" s="20"/>
      <c r="CJ130" s="20"/>
      <c r="CN130" s="18"/>
      <c r="CO130" s="19"/>
      <c r="CP130" s="19"/>
      <c r="CQ130" s="19"/>
      <c r="CR130" s="19"/>
      <c r="CS130" s="19"/>
      <c r="CT130" s="19"/>
      <c r="CU130" s="20"/>
      <c r="CV130" s="20"/>
      <c r="DA130" s="18">
        <f t="shared" si="29"/>
        <v>0</v>
      </c>
      <c r="DB130" s="19">
        <f t="shared" si="30"/>
        <v>0</v>
      </c>
      <c r="DC130" s="19">
        <f t="shared" si="31"/>
        <v>0</v>
      </c>
      <c r="DD130" s="19">
        <f t="shared" si="32"/>
        <v>0</v>
      </c>
      <c r="DE130" s="19">
        <f t="shared" si="33"/>
        <v>0</v>
      </c>
      <c r="DF130" s="19">
        <f t="shared" si="34"/>
        <v>0</v>
      </c>
      <c r="DG130" s="19">
        <f t="shared" si="35"/>
        <v>0</v>
      </c>
      <c r="DH130" s="20">
        <f t="shared" si="36"/>
        <v>0</v>
      </c>
      <c r="DI130" s="20">
        <f t="shared" si="37"/>
        <v>0</v>
      </c>
      <c r="DJ130" s="2"/>
    </row>
    <row r="131" spans="80:114" x14ac:dyDescent="0.3">
      <c r="CB131" s="18"/>
      <c r="CC131" s="19"/>
      <c r="CD131" s="19"/>
      <c r="CE131" s="19"/>
      <c r="CF131" s="19"/>
      <c r="CG131" s="19"/>
      <c r="CH131" s="19"/>
      <c r="CI131" s="20"/>
      <c r="CJ131" s="20"/>
      <c r="CN131" s="18"/>
      <c r="CO131" s="19"/>
      <c r="CP131" s="19"/>
      <c r="CQ131" s="19"/>
      <c r="CR131" s="19"/>
      <c r="CS131" s="19"/>
      <c r="CT131" s="19"/>
      <c r="CU131" s="20"/>
      <c r="CV131" s="20"/>
      <c r="DA131" s="18">
        <f t="shared" ref="DA131:DA194" si="40">IF($BZ$2=1,CN131,CB131)</f>
        <v>0</v>
      </c>
      <c r="DB131" s="19">
        <f t="shared" ref="DB131:DB194" si="41">IF($BZ$2=1,CO131,CC131)</f>
        <v>0</v>
      </c>
      <c r="DC131" s="19">
        <f t="shared" ref="DC131:DC194" si="42">IF($BZ$2=1,CP131,CD131)</f>
        <v>0</v>
      </c>
      <c r="DD131" s="19">
        <f t="shared" ref="DD131:DD194" si="43">IF($BZ$2=1,CQ131,CE131)</f>
        <v>0</v>
      </c>
      <c r="DE131" s="19">
        <f t="shared" ref="DE131:DE194" si="44">IF($BZ$2=1,CR131,CF131)</f>
        <v>0</v>
      </c>
      <c r="DF131" s="19">
        <f t="shared" ref="DF131:DF194" si="45">IF($BZ$2=1,CS131,CG131)</f>
        <v>0</v>
      </c>
      <c r="DG131" s="19">
        <f t="shared" ref="DG131:DG194" si="46">IF($BZ$2=1,CT131,CH131)</f>
        <v>0</v>
      </c>
      <c r="DH131" s="20">
        <f t="shared" ref="DH131:DH194" si="47">IF($BZ$2=1,CU131,CI131)</f>
        <v>0</v>
      </c>
      <c r="DI131" s="20">
        <f t="shared" ref="DI131:DI194" si="48">IF($BZ$2=1,CV131,CJ131)</f>
        <v>0</v>
      </c>
      <c r="DJ131" s="2"/>
    </row>
    <row r="132" spans="80:114" x14ac:dyDescent="0.3">
      <c r="CB132" s="18"/>
      <c r="CC132" s="19"/>
      <c r="CD132" s="19"/>
      <c r="CE132" s="19"/>
      <c r="CF132" s="19"/>
      <c r="CG132" s="19"/>
      <c r="CH132" s="19"/>
      <c r="CI132" s="20"/>
      <c r="CJ132" s="20"/>
      <c r="CN132" s="18"/>
      <c r="CO132" s="19"/>
      <c r="CP132" s="19"/>
      <c r="CQ132" s="19"/>
      <c r="CR132" s="19"/>
      <c r="CS132" s="19"/>
      <c r="CT132" s="19"/>
      <c r="CU132" s="20"/>
      <c r="CV132" s="20"/>
      <c r="DA132" s="18">
        <f t="shared" si="40"/>
        <v>0</v>
      </c>
      <c r="DB132" s="19">
        <f t="shared" si="41"/>
        <v>0</v>
      </c>
      <c r="DC132" s="19">
        <f t="shared" si="42"/>
        <v>0</v>
      </c>
      <c r="DD132" s="19">
        <f t="shared" si="43"/>
        <v>0</v>
      </c>
      <c r="DE132" s="19">
        <f t="shared" si="44"/>
        <v>0</v>
      </c>
      <c r="DF132" s="19">
        <f t="shared" si="45"/>
        <v>0</v>
      </c>
      <c r="DG132" s="19">
        <f t="shared" si="46"/>
        <v>0</v>
      </c>
      <c r="DH132" s="20">
        <f t="shared" si="47"/>
        <v>0</v>
      </c>
      <c r="DI132" s="20">
        <f t="shared" si="48"/>
        <v>0</v>
      </c>
      <c r="DJ132" s="2"/>
    </row>
    <row r="133" spans="80:114" x14ac:dyDescent="0.3">
      <c r="CB133" s="18"/>
      <c r="CC133" s="19"/>
      <c r="CD133" s="19"/>
      <c r="CE133" s="19"/>
      <c r="CF133" s="19"/>
      <c r="CG133" s="19"/>
      <c r="CH133" s="19"/>
      <c r="CI133" s="20"/>
      <c r="CJ133" s="20"/>
      <c r="CN133" s="18"/>
      <c r="CO133" s="19"/>
      <c r="CP133" s="19"/>
      <c r="CQ133" s="19"/>
      <c r="CR133" s="19"/>
      <c r="CS133" s="19"/>
      <c r="CT133" s="19"/>
      <c r="CU133" s="20"/>
      <c r="CV133" s="20"/>
      <c r="DA133" s="18">
        <f t="shared" si="40"/>
        <v>0</v>
      </c>
      <c r="DB133" s="19">
        <f t="shared" si="41"/>
        <v>0</v>
      </c>
      <c r="DC133" s="19">
        <f t="shared" si="42"/>
        <v>0</v>
      </c>
      <c r="DD133" s="19">
        <f t="shared" si="43"/>
        <v>0</v>
      </c>
      <c r="DE133" s="19">
        <f t="shared" si="44"/>
        <v>0</v>
      </c>
      <c r="DF133" s="19">
        <f t="shared" si="45"/>
        <v>0</v>
      </c>
      <c r="DG133" s="19">
        <f t="shared" si="46"/>
        <v>0</v>
      </c>
      <c r="DH133" s="20">
        <f t="shared" si="47"/>
        <v>0</v>
      </c>
      <c r="DI133" s="20">
        <f t="shared" si="48"/>
        <v>0</v>
      </c>
      <c r="DJ133" s="2"/>
    </row>
    <row r="134" spans="80:114" x14ac:dyDescent="0.3">
      <c r="CB134" s="18"/>
      <c r="CC134" s="19"/>
      <c r="CD134" s="19"/>
      <c r="CE134" s="19"/>
      <c r="CF134" s="19"/>
      <c r="CG134" s="19"/>
      <c r="CH134" s="19"/>
      <c r="CI134" s="20"/>
      <c r="CJ134" s="20"/>
      <c r="CN134" s="18"/>
      <c r="CO134" s="19"/>
      <c r="CP134" s="19"/>
      <c r="CQ134" s="19"/>
      <c r="CR134" s="19"/>
      <c r="CS134" s="19"/>
      <c r="CT134" s="19"/>
      <c r="CU134" s="20"/>
      <c r="CV134" s="20"/>
      <c r="DA134" s="18">
        <f t="shared" si="40"/>
        <v>0</v>
      </c>
      <c r="DB134" s="19">
        <f t="shared" si="41"/>
        <v>0</v>
      </c>
      <c r="DC134" s="19">
        <f t="shared" si="42"/>
        <v>0</v>
      </c>
      <c r="DD134" s="19">
        <f t="shared" si="43"/>
        <v>0</v>
      </c>
      <c r="DE134" s="19">
        <f t="shared" si="44"/>
        <v>0</v>
      </c>
      <c r="DF134" s="19">
        <f t="shared" si="45"/>
        <v>0</v>
      </c>
      <c r="DG134" s="19">
        <f t="shared" si="46"/>
        <v>0</v>
      </c>
      <c r="DH134" s="20">
        <f t="shared" si="47"/>
        <v>0</v>
      </c>
      <c r="DI134" s="20">
        <f t="shared" si="48"/>
        <v>0</v>
      </c>
      <c r="DJ134" s="2"/>
    </row>
    <row r="135" spans="80:114" x14ac:dyDescent="0.3">
      <c r="CB135" s="18"/>
      <c r="CC135" s="19"/>
      <c r="CD135" s="19"/>
      <c r="CE135" s="19"/>
      <c r="CF135" s="19"/>
      <c r="CG135" s="19"/>
      <c r="CH135" s="19"/>
      <c r="CI135" s="20"/>
      <c r="CJ135" s="20"/>
      <c r="CN135" s="18"/>
      <c r="CO135" s="19"/>
      <c r="CP135" s="19"/>
      <c r="CQ135" s="19"/>
      <c r="CR135" s="19"/>
      <c r="CS135" s="19"/>
      <c r="CT135" s="19"/>
      <c r="CU135" s="20"/>
      <c r="CV135" s="20"/>
      <c r="DA135" s="18">
        <f t="shared" si="40"/>
        <v>0</v>
      </c>
      <c r="DB135" s="19">
        <f t="shared" si="41"/>
        <v>0</v>
      </c>
      <c r="DC135" s="19">
        <f t="shared" si="42"/>
        <v>0</v>
      </c>
      <c r="DD135" s="19">
        <f t="shared" si="43"/>
        <v>0</v>
      </c>
      <c r="DE135" s="19">
        <f t="shared" si="44"/>
        <v>0</v>
      </c>
      <c r="DF135" s="19">
        <f t="shared" si="45"/>
        <v>0</v>
      </c>
      <c r="DG135" s="19">
        <f t="shared" si="46"/>
        <v>0</v>
      </c>
      <c r="DH135" s="20">
        <f t="shared" si="47"/>
        <v>0</v>
      </c>
      <c r="DI135" s="20">
        <f t="shared" si="48"/>
        <v>0</v>
      </c>
      <c r="DJ135" s="2"/>
    </row>
    <row r="136" spans="80:114" x14ac:dyDescent="0.3">
      <c r="CB136" s="18"/>
      <c r="CC136" s="19"/>
      <c r="CD136" s="19"/>
      <c r="CE136" s="19"/>
      <c r="CF136" s="19"/>
      <c r="CG136" s="19"/>
      <c r="CH136" s="19"/>
      <c r="CI136" s="20"/>
      <c r="CJ136" s="20"/>
      <c r="CN136" s="18"/>
      <c r="CO136" s="19"/>
      <c r="CP136" s="19"/>
      <c r="CQ136" s="19"/>
      <c r="CR136" s="19"/>
      <c r="CS136" s="19"/>
      <c r="CT136" s="19"/>
      <c r="CU136" s="20"/>
      <c r="CV136" s="20"/>
      <c r="DA136" s="18">
        <f t="shared" si="40"/>
        <v>0</v>
      </c>
      <c r="DB136" s="19">
        <f t="shared" si="41"/>
        <v>0</v>
      </c>
      <c r="DC136" s="19">
        <f t="shared" si="42"/>
        <v>0</v>
      </c>
      <c r="DD136" s="19">
        <f t="shared" si="43"/>
        <v>0</v>
      </c>
      <c r="DE136" s="19">
        <f t="shared" si="44"/>
        <v>0</v>
      </c>
      <c r="DF136" s="19">
        <f t="shared" si="45"/>
        <v>0</v>
      </c>
      <c r="DG136" s="19">
        <f t="shared" si="46"/>
        <v>0</v>
      </c>
      <c r="DH136" s="20">
        <f t="shared" si="47"/>
        <v>0</v>
      </c>
      <c r="DI136" s="20">
        <f t="shared" si="48"/>
        <v>0</v>
      </c>
      <c r="DJ136" s="2"/>
    </row>
    <row r="137" spans="80:114" x14ac:dyDescent="0.3">
      <c r="CB137" s="18"/>
      <c r="CC137" s="19"/>
      <c r="CD137" s="19"/>
      <c r="CE137" s="19"/>
      <c r="CF137" s="19"/>
      <c r="CG137" s="19"/>
      <c r="CH137" s="19"/>
      <c r="CI137" s="20"/>
      <c r="CJ137" s="20"/>
      <c r="CN137" s="18"/>
      <c r="CO137" s="19"/>
      <c r="CP137" s="19"/>
      <c r="CQ137" s="19"/>
      <c r="CR137" s="19"/>
      <c r="CS137" s="19"/>
      <c r="CT137" s="19"/>
      <c r="CU137" s="20"/>
      <c r="CV137" s="20"/>
      <c r="DA137" s="18">
        <f t="shared" si="40"/>
        <v>0</v>
      </c>
      <c r="DB137" s="19">
        <f t="shared" si="41"/>
        <v>0</v>
      </c>
      <c r="DC137" s="19">
        <f t="shared" si="42"/>
        <v>0</v>
      </c>
      <c r="DD137" s="19">
        <f t="shared" si="43"/>
        <v>0</v>
      </c>
      <c r="DE137" s="19">
        <f t="shared" si="44"/>
        <v>0</v>
      </c>
      <c r="DF137" s="19">
        <f t="shared" si="45"/>
        <v>0</v>
      </c>
      <c r="DG137" s="19">
        <f t="shared" si="46"/>
        <v>0</v>
      </c>
      <c r="DH137" s="20">
        <f t="shared" si="47"/>
        <v>0</v>
      </c>
      <c r="DI137" s="20">
        <f t="shared" si="48"/>
        <v>0</v>
      </c>
      <c r="DJ137" s="2"/>
    </row>
    <row r="138" spans="80:114" x14ac:dyDescent="0.3">
      <c r="CB138" s="18"/>
      <c r="CC138" s="19"/>
      <c r="CD138" s="19"/>
      <c r="CE138" s="19"/>
      <c r="CF138" s="19"/>
      <c r="CG138" s="19"/>
      <c r="CH138" s="19"/>
      <c r="CI138" s="20"/>
      <c r="CJ138" s="20"/>
      <c r="CN138" s="18"/>
      <c r="CO138" s="19"/>
      <c r="CP138" s="19"/>
      <c r="CQ138" s="19"/>
      <c r="CR138" s="19"/>
      <c r="CS138" s="19"/>
      <c r="CT138" s="19"/>
      <c r="CU138" s="20"/>
      <c r="CV138" s="20"/>
      <c r="DA138" s="18">
        <f t="shared" si="40"/>
        <v>0</v>
      </c>
      <c r="DB138" s="19">
        <f t="shared" si="41"/>
        <v>0</v>
      </c>
      <c r="DC138" s="19">
        <f t="shared" si="42"/>
        <v>0</v>
      </c>
      <c r="DD138" s="19">
        <f t="shared" si="43"/>
        <v>0</v>
      </c>
      <c r="DE138" s="19">
        <f t="shared" si="44"/>
        <v>0</v>
      </c>
      <c r="DF138" s="19">
        <f t="shared" si="45"/>
        <v>0</v>
      </c>
      <c r="DG138" s="19">
        <f t="shared" si="46"/>
        <v>0</v>
      </c>
      <c r="DH138" s="20">
        <f t="shared" si="47"/>
        <v>0</v>
      </c>
      <c r="DI138" s="20">
        <f t="shared" si="48"/>
        <v>0</v>
      </c>
      <c r="DJ138" s="2"/>
    </row>
    <row r="139" spans="80:114" x14ac:dyDescent="0.3">
      <c r="CB139" s="18"/>
      <c r="CC139" s="19"/>
      <c r="CD139" s="19"/>
      <c r="CE139" s="19"/>
      <c r="CF139" s="19"/>
      <c r="CG139" s="19"/>
      <c r="CH139" s="19"/>
      <c r="CI139" s="20"/>
      <c r="CJ139" s="20"/>
      <c r="CN139" s="18"/>
      <c r="CO139" s="19"/>
      <c r="CP139" s="19"/>
      <c r="CQ139" s="19"/>
      <c r="CR139" s="19"/>
      <c r="CS139" s="19"/>
      <c r="CT139" s="19"/>
      <c r="CU139" s="20"/>
      <c r="CV139" s="20"/>
      <c r="DA139" s="18">
        <f t="shared" si="40"/>
        <v>0</v>
      </c>
      <c r="DB139" s="19">
        <f t="shared" si="41"/>
        <v>0</v>
      </c>
      <c r="DC139" s="19">
        <f t="shared" si="42"/>
        <v>0</v>
      </c>
      <c r="DD139" s="19">
        <f t="shared" si="43"/>
        <v>0</v>
      </c>
      <c r="DE139" s="19">
        <f t="shared" si="44"/>
        <v>0</v>
      </c>
      <c r="DF139" s="19">
        <f t="shared" si="45"/>
        <v>0</v>
      </c>
      <c r="DG139" s="19">
        <f t="shared" si="46"/>
        <v>0</v>
      </c>
      <c r="DH139" s="20">
        <f t="shared" si="47"/>
        <v>0</v>
      </c>
      <c r="DI139" s="20">
        <f t="shared" si="48"/>
        <v>0</v>
      </c>
      <c r="DJ139" s="2"/>
    </row>
    <row r="140" spans="80:114" x14ac:dyDescent="0.3">
      <c r="CB140" s="18"/>
      <c r="CC140" s="19"/>
      <c r="CD140" s="19"/>
      <c r="CE140" s="19"/>
      <c r="CF140" s="19"/>
      <c r="CG140" s="19"/>
      <c r="CH140" s="19"/>
      <c r="CI140" s="20"/>
      <c r="CJ140" s="20"/>
      <c r="CN140" s="18"/>
      <c r="CO140" s="19"/>
      <c r="CP140" s="19"/>
      <c r="CQ140" s="19"/>
      <c r="CR140" s="19"/>
      <c r="CS140" s="19"/>
      <c r="CT140" s="19"/>
      <c r="CU140" s="20"/>
      <c r="CV140" s="20"/>
      <c r="DA140" s="18">
        <f t="shared" si="40"/>
        <v>0</v>
      </c>
      <c r="DB140" s="19">
        <f t="shared" si="41"/>
        <v>0</v>
      </c>
      <c r="DC140" s="19">
        <f t="shared" si="42"/>
        <v>0</v>
      </c>
      <c r="DD140" s="19">
        <f t="shared" si="43"/>
        <v>0</v>
      </c>
      <c r="DE140" s="19">
        <f t="shared" si="44"/>
        <v>0</v>
      </c>
      <c r="DF140" s="19">
        <f t="shared" si="45"/>
        <v>0</v>
      </c>
      <c r="DG140" s="19">
        <f t="shared" si="46"/>
        <v>0</v>
      </c>
      <c r="DH140" s="20">
        <f t="shared" si="47"/>
        <v>0</v>
      </c>
      <c r="DI140" s="20">
        <f t="shared" si="48"/>
        <v>0</v>
      </c>
      <c r="DJ140" s="2"/>
    </row>
    <row r="141" spans="80:114" x14ac:dyDescent="0.3">
      <c r="CB141" s="18"/>
      <c r="CC141" s="19"/>
      <c r="CD141" s="19"/>
      <c r="CE141" s="19"/>
      <c r="CF141" s="19"/>
      <c r="CG141" s="19"/>
      <c r="CH141" s="19"/>
      <c r="CI141" s="20"/>
      <c r="CJ141" s="20"/>
      <c r="CN141" s="18"/>
      <c r="CO141" s="19"/>
      <c r="CP141" s="19"/>
      <c r="CQ141" s="19"/>
      <c r="CR141" s="19"/>
      <c r="CS141" s="19"/>
      <c r="CT141" s="19"/>
      <c r="CU141" s="20"/>
      <c r="CV141" s="20"/>
      <c r="DA141" s="18">
        <f t="shared" si="40"/>
        <v>0</v>
      </c>
      <c r="DB141" s="19">
        <f t="shared" si="41"/>
        <v>0</v>
      </c>
      <c r="DC141" s="19">
        <f t="shared" si="42"/>
        <v>0</v>
      </c>
      <c r="DD141" s="19">
        <f t="shared" si="43"/>
        <v>0</v>
      </c>
      <c r="DE141" s="19">
        <f t="shared" si="44"/>
        <v>0</v>
      </c>
      <c r="DF141" s="19">
        <f t="shared" si="45"/>
        <v>0</v>
      </c>
      <c r="DG141" s="19">
        <f t="shared" si="46"/>
        <v>0</v>
      </c>
      <c r="DH141" s="20">
        <f t="shared" si="47"/>
        <v>0</v>
      </c>
      <c r="DI141" s="20">
        <f t="shared" si="48"/>
        <v>0</v>
      </c>
      <c r="DJ141" s="2"/>
    </row>
    <row r="142" spans="80:114" x14ac:dyDescent="0.3">
      <c r="CB142" s="18"/>
      <c r="CC142" s="19"/>
      <c r="CD142" s="19"/>
      <c r="CE142" s="19"/>
      <c r="CF142" s="19"/>
      <c r="CG142" s="19"/>
      <c r="CH142" s="19"/>
      <c r="CI142" s="20"/>
      <c r="CJ142" s="20"/>
      <c r="CN142" s="18"/>
      <c r="CO142" s="19"/>
      <c r="CP142" s="19"/>
      <c r="CQ142" s="19"/>
      <c r="CR142" s="19"/>
      <c r="CS142" s="19"/>
      <c r="CT142" s="19"/>
      <c r="CU142" s="20"/>
      <c r="CV142" s="20"/>
      <c r="DA142" s="18">
        <f t="shared" si="40"/>
        <v>0</v>
      </c>
      <c r="DB142" s="19">
        <f t="shared" si="41"/>
        <v>0</v>
      </c>
      <c r="DC142" s="19">
        <f t="shared" si="42"/>
        <v>0</v>
      </c>
      <c r="DD142" s="19">
        <f t="shared" si="43"/>
        <v>0</v>
      </c>
      <c r="DE142" s="19">
        <f t="shared" si="44"/>
        <v>0</v>
      </c>
      <c r="DF142" s="19">
        <f t="shared" si="45"/>
        <v>0</v>
      </c>
      <c r="DG142" s="19">
        <f t="shared" si="46"/>
        <v>0</v>
      </c>
      <c r="DH142" s="20">
        <f t="shared" si="47"/>
        <v>0</v>
      </c>
      <c r="DI142" s="20">
        <f t="shared" si="48"/>
        <v>0</v>
      </c>
      <c r="DJ142" s="2"/>
    </row>
    <row r="143" spans="80:114" x14ac:dyDescent="0.3">
      <c r="CB143" s="18"/>
      <c r="CC143" s="19"/>
      <c r="CD143" s="19"/>
      <c r="CE143" s="19"/>
      <c r="CF143" s="19"/>
      <c r="CG143" s="19"/>
      <c r="CH143" s="19"/>
      <c r="CI143" s="20"/>
      <c r="CJ143" s="20"/>
      <c r="CN143" s="18"/>
      <c r="CO143" s="19"/>
      <c r="CP143" s="19"/>
      <c r="CQ143" s="19"/>
      <c r="CR143" s="19"/>
      <c r="CS143" s="19"/>
      <c r="CT143" s="19"/>
      <c r="CU143" s="20"/>
      <c r="CV143" s="20"/>
      <c r="DA143" s="18">
        <f t="shared" si="40"/>
        <v>0</v>
      </c>
      <c r="DB143" s="19">
        <f t="shared" si="41"/>
        <v>0</v>
      </c>
      <c r="DC143" s="19">
        <f t="shared" si="42"/>
        <v>0</v>
      </c>
      <c r="DD143" s="19">
        <f t="shared" si="43"/>
        <v>0</v>
      </c>
      <c r="DE143" s="19">
        <f t="shared" si="44"/>
        <v>0</v>
      </c>
      <c r="DF143" s="19">
        <f t="shared" si="45"/>
        <v>0</v>
      </c>
      <c r="DG143" s="19">
        <f t="shared" si="46"/>
        <v>0</v>
      </c>
      <c r="DH143" s="20">
        <f t="shared" si="47"/>
        <v>0</v>
      </c>
      <c r="DI143" s="20">
        <f t="shared" si="48"/>
        <v>0</v>
      </c>
      <c r="DJ143" s="2"/>
    </row>
    <row r="144" spans="80:114" x14ac:dyDescent="0.3">
      <c r="CB144" s="18"/>
      <c r="CC144" s="19"/>
      <c r="CD144" s="19"/>
      <c r="CE144" s="19"/>
      <c r="CF144" s="19"/>
      <c r="CG144" s="19"/>
      <c r="CH144" s="19"/>
      <c r="CI144" s="20"/>
      <c r="CJ144" s="20"/>
      <c r="CN144" s="18"/>
      <c r="CO144" s="19"/>
      <c r="CP144" s="19"/>
      <c r="CQ144" s="19"/>
      <c r="CR144" s="19"/>
      <c r="CS144" s="19"/>
      <c r="CT144" s="19"/>
      <c r="CU144" s="20"/>
      <c r="CV144" s="20"/>
      <c r="DA144" s="18">
        <f t="shared" si="40"/>
        <v>0</v>
      </c>
      <c r="DB144" s="19">
        <f t="shared" si="41"/>
        <v>0</v>
      </c>
      <c r="DC144" s="19">
        <f t="shared" si="42"/>
        <v>0</v>
      </c>
      <c r="DD144" s="19">
        <f t="shared" si="43"/>
        <v>0</v>
      </c>
      <c r="DE144" s="19">
        <f t="shared" si="44"/>
        <v>0</v>
      </c>
      <c r="DF144" s="19">
        <f t="shared" si="45"/>
        <v>0</v>
      </c>
      <c r="DG144" s="19">
        <f t="shared" si="46"/>
        <v>0</v>
      </c>
      <c r="DH144" s="20">
        <f t="shared" si="47"/>
        <v>0</v>
      </c>
      <c r="DI144" s="20">
        <f t="shared" si="48"/>
        <v>0</v>
      </c>
      <c r="DJ144" s="2"/>
    </row>
    <row r="145" spans="80:114" x14ac:dyDescent="0.3">
      <c r="CB145" s="18"/>
      <c r="CC145" s="19"/>
      <c r="CD145" s="19"/>
      <c r="CE145" s="19"/>
      <c r="CF145" s="19"/>
      <c r="CG145" s="19"/>
      <c r="CH145" s="19"/>
      <c r="CI145" s="20"/>
      <c r="CJ145" s="20"/>
      <c r="CN145" s="18"/>
      <c r="CO145" s="19"/>
      <c r="CP145" s="19"/>
      <c r="CQ145" s="19"/>
      <c r="CR145" s="19"/>
      <c r="CS145" s="19"/>
      <c r="CT145" s="19"/>
      <c r="CU145" s="20"/>
      <c r="CV145" s="20"/>
      <c r="DA145" s="18">
        <f t="shared" si="40"/>
        <v>0</v>
      </c>
      <c r="DB145" s="19">
        <f t="shared" si="41"/>
        <v>0</v>
      </c>
      <c r="DC145" s="19">
        <f t="shared" si="42"/>
        <v>0</v>
      </c>
      <c r="DD145" s="19">
        <f t="shared" si="43"/>
        <v>0</v>
      </c>
      <c r="DE145" s="19">
        <f t="shared" si="44"/>
        <v>0</v>
      </c>
      <c r="DF145" s="19">
        <f t="shared" si="45"/>
        <v>0</v>
      </c>
      <c r="DG145" s="19">
        <f t="shared" si="46"/>
        <v>0</v>
      </c>
      <c r="DH145" s="20">
        <f t="shared" si="47"/>
        <v>0</v>
      </c>
      <c r="DI145" s="20">
        <f t="shared" si="48"/>
        <v>0</v>
      </c>
      <c r="DJ145" s="2"/>
    </row>
    <row r="146" spans="80:114" x14ac:dyDescent="0.3">
      <c r="CB146" s="18"/>
      <c r="CC146" s="19"/>
      <c r="CD146" s="19"/>
      <c r="CE146" s="19"/>
      <c r="CF146" s="19"/>
      <c r="CG146" s="19"/>
      <c r="CH146" s="19"/>
      <c r="CI146" s="20"/>
      <c r="CJ146" s="20"/>
      <c r="CN146" s="18"/>
      <c r="CO146" s="19"/>
      <c r="CP146" s="19"/>
      <c r="CQ146" s="19"/>
      <c r="CR146" s="19"/>
      <c r="CS146" s="19"/>
      <c r="CT146" s="19"/>
      <c r="CU146" s="20"/>
      <c r="CV146" s="20"/>
      <c r="DA146" s="18">
        <f t="shared" si="40"/>
        <v>0</v>
      </c>
      <c r="DB146" s="19">
        <f t="shared" si="41"/>
        <v>0</v>
      </c>
      <c r="DC146" s="19">
        <f t="shared" si="42"/>
        <v>0</v>
      </c>
      <c r="DD146" s="19">
        <f t="shared" si="43"/>
        <v>0</v>
      </c>
      <c r="DE146" s="19">
        <f t="shared" si="44"/>
        <v>0</v>
      </c>
      <c r="DF146" s="19">
        <f t="shared" si="45"/>
        <v>0</v>
      </c>
      <c r="DG146" s="19">
        <f t="shared" si="46"/>
        <v>0</v>
      </c>
      <c r="DH146" s="20">
        <f t="shared" si="47"/>
        <v>0</v>
      </c>
      <c r="DI146" s="20">
        <f t="shared" si="48"/>
        <v>0</v>
      </c>
      <c r="DJ146" s="2"/>
    </row>
    <row r="147" spans="80:114" x14ac:dyDescent="0.3">
      <c r="CB147" s="18"/>
      <c r="CC147" s="19"/>
      <c r="CD147" s="19"/>
      <c r="CE147" s="19"/>
      <c r="CF147" s="19"/>
      <c r="CG147" s="19"/>
      <c r="CH147" s="19"/>
      <c r="CI147" s="20"/>
      <c r="CJ147" s="20"/>
      <c r="CN147" s="18"/>
      <c r="CO147" s="19"/>
      <c r="CP147" s="19"/>
      <c r="CQ147" s="19"/>
      <c r="CR147" s="19"/>
      <c r="CS147" s="19"/>
      <c r="CT147" s="19"/>
      <c r="CU147" s="20"/>
      <c r="CV147" s="20"/>
      <c r="DA147" s="18">
        <f t="shared" si="40"/>
        <v>0</v>
      </c>
      <c r="DB147" s="19">
        <f t="shared" si="41"/>
        <v>0</v>
      </c>
      <c r="DC147" s="19">
        <f t="shared" si="42"/>
        <v>0</v>
      </c>
      <c r="DD147" s="19">
        <f t="shared" si="43"/>
        <v>0</v>
      </c>
      <c r="DE147" s="19">
        <f t="shared" si="44"/>
        <v>0</v>
      </c>
      <c r="DF147" s="19">
        <f t="shared" si="45"/>
        <v>0</v>
      </c>
      <c r="DG147" s="19">
        <f t="shared" si="46"/>
        <v>0</v>
      </c>
      <c r="DH147" s="20">
        <f t="shared" si="47"/>
        <v>0</v>
      </c>
      <c r="DI147" s="20">
        <f t="shared" si="48"/>
        <v>0</v>
      </c>
      <c r="DJ147" s="2"/>
    </row>
    <row r="148" spans="80:114" x14ac:dyDescent="0.3">
      <c r="CB148" s="18"/>
      <c r="CC148" s="19"/>
      <c r="CD148" s="19"/>
      <c r="CE148" s="19"/>
      <c r="CF148" s="19"/>
      <c r="CG148" s="19"/>
      <c r="CH148" s="19"/>
      <c r="CI148" s="20"/>
      <c r="CJ148" s="20"/>
      <c r="CN148" s="18"/>
      <c r="CO148" s="19"/>
      <c r="CP148" s="19"/>
      <c r="CQ148" s="19"/>
      <c r="CR148" s="19"/>
      <c r="CS148" s="19"/>
      <c r="CT148" s="19"/>
      <c r="CU148" s="20"/>
      <c r="CV148" s="20"/>
      <c r="DA148" s="18">
        <f t="shared" si="40"/>
        <v>0</v>
      </c>
      <c r="DB148" s="19">
        <f t="shared" si="41"/>
        <v>0</v>
      </c>
      <c r="DC148" s="19">
        <f t="shared" si="42"/>
        <v>0</v>
      </c>
      <c r="DD148" s="19">
        <f t="shared" si="43"/>
        <v>0</v>
      </c>
      <c r="DE148" s="19">
        <f t="shared" si="44"/>
        <v>0</v>
      </c>
      <c r="DF148" s="19">
        <f t="shared" si="45"/>
        <v>0</v>
      </c>
      <c r="DG148" s="19">
        <f t="shared" si="46"/>
        <v>0</v>
      </c>
      <c r="DH148" s="20">
        <f t="shared" si="47"/>
        <v>0</v>
      </c>
      <c r="DI148" s="20">
        <f t="shared" si="48"/>
        <v>0</v>
      </c>
      <c r="DJ148" s="2"/>
    </row>
    <row r="149" spans="80:114" x14ac:dyDescent="0.3">
      <c r="CB149" s="18"/>
      <c r="CC149" s="19"/>
      <c r="CD149" s="19"/>
      <c r="CE149" s="19"/>
      <c r="CF149" s="19"/>
      <c r="CG149" s="19"/>
      <c r="CH149" s="19"/>
      <c r="CI149" s="20"/>
      <c r="CJ149" s="20"/>
      <c r="CN149" s="18"/>
      <c r="CO149" s="19"/>
      <c r="CP149" s="19"/>
      <c r="CQ149" s="19"/>
      <c r="CR149" s="19"/>
      <c r="CS149" s="19"/>
      <c r="CT149" s="19"/>
      <c r="CU149" s="20"/>
      <c r="CV149" s="20"/>
      <c r="DA149" s="18">
        <f t="shared" si="40"/>
        <v>0</v>
      </c>
      <c r="DB149" s="19">
        <f t="shared" si="41"/>
        <v>0</v>
      </c>
      <c r="DC149" s="19">
        <f t="shared" si="42"/>
        <v>0</v>
      </c>
      <c r="DD149" s="19">
        <f t="shared" si="43"/>
        <v>0</v>
      </c>
      <c r="DE149" s="19">
        <f t="shared" si="44"/>
        <v>0</v>
      </c>
      <c r="DF149" s="19">
        <f t="shared" si="45"/>
        <v>0</v>
      </c>
      <c r="DG149" s="19">
        <f t="shared" si="46"/>
        <v>0</v>
      </c>
      <c r="DH149" s="20">
        <f t="shared" si="47"/>
        <v>0</v>
      </c>
      <c r="DI149" s="20">
        <f t="shared" si="48"/>
        <v>0</v>
      </c>
      <c r="DJ149" s="2"/>
    </row>
    <row r="150" spans="80:114" x14ac:dyDescent="0.3">
      <c r="CB150" s="18"/>
      <c r="CC150" s="19"/>
      <c r="CD150" s="19"/>
      <c r="CE150" s="19"/>
      <c r="CF150" s="19"/>
      <c r="CG150" s="19"/>
      <c r="CH150" s="19"/>
      <c r="CI150" s="20"/>
      <c r="CJ150" s="20"/>
      <c r="CN150" s="18"/>
      <c r="CO150" s="19"/>
      <c r="CP150" s="19"/>
      <c r="CQ150" s="19"/>
      <c r="CR150" s="19"/>
      <c r="CS150" s="19"/>
      <c r="CT150" s="19"/>
      <c r="CU150" s="20"/>
      <c r="CV150" s="20"/>
      <c r="DA150" s="18">
        <f t="shared" si="40"/>
        <v>0</v>
      </c>
      <c r="DB150" s="19">
        <f t="shared" si="41"/>
        <v>0</v>
      </c>
      <c r="DC150" s="19">
        <f t="shared" si="42"/>
        <v>0</v>
      </c>
      <c r="DD150" s="19">
        <f t="shared" si="43"/>
        <v>0</v>
      </c>
      <c r="DE150" s="19">
        <f t="shared" si="44"/>
        <v>0</v>
      </c>
      <c r="DF150" s="19">
        <f t="shared" si="45"/>
        <v>0</v>
      </c>
      <c r="DG150" s="19">
        <f t="shared" si="46"/>
        <v>0</v>
      </c>
      <c r="DH150" s="20">
        <f t="shared" si="47"/>
        <v>0</v>
      </c>
      <c r="DI150" s="20">
        <f t="shared" si="48"/>
        <v>0</v>
      </c>
      <c r="DJ150" s="2"/>
    </row>
    <row r="151" spans="80:114" x14ac:dyDescent="0.3">
      <c r="CB151" s="18"/>
      <c r="CC151" s="19"/>
      <c r="CD151" s="19"/>
      <c r="CE151" s="19"/>
      <c r="CF151" s="19"/>
      <c r="CG151" s="19"/>
      <c r="CH151" s="19"/>
      <c r="CI151" s="20"/>
      <c r="CJ151" s="20"/>
      <c r="CN151" s="18"/>
      <c r="CO151" s="19"/>
      <c r="CP151" s="19"/>
      <c r="CQ151" s="19"/>
      <c r="CR151" s="19"/>
      <c r="CS151" s="19"/>
      <c r="CT151" s="19"/>
      <c r="CU151" s="20"/>
      <c r="CV151" s="20"/>
      <c r="DA151" s="18">
        <f t="shared" si="40"/>
        <v>0</v>
      </c>
      <c r="DB151" s="19">
        <f t="shared" si="41"/>
        <v>0</v>
      </c>
      <c r="DC151" s="19">
        <f t="shared" si="42"/>
        <v>0</v>
      </c>
      <c r="DD151" s="19">
        <f t="shared" si="43"/>
        <v>0</v>
      </c>
      <c r="DE151" s="19">
        <f t="shared" si="44"/>
        <v>0</v>
      </c>
      <c r="DF151" s="19">
        <f t="shared" si="45"/>
        <v>0</v>
      </c>
      <c r="DG151" s="19">
        <f t="shared" si="46"/>
        <v>0</v>
      </c>
      <c r="DH151" s="20">
        <f t="shared" si="47"/>
        <v>0</v>
      </c>
      <c r="DI151" s="20">
        <f t="shared" si="48"/>
        <v>0</v>
      </c>
      <c r="DJ151" s="2"/>
    </row>
    <row r="152" spans="80:114" x14ac:dyDescent="0.3">
      <c r="CB152" s="18"/>
      <c r="CC152" s="19"/>
      <c r="CD152" s="19"/>
      <c r="CE152" s="19"/>
      <c r="CF152" s="19"/>
      <c r="CG152" s="19"/>
      <c r="CH152" s="19"/>
      <c r="CI152" s="20"/>
      <c r="CJ152" s="20"/>
      <c r="CN152" s="18"/>
      <c r="CO152" s="19"/>
      <c r="CP152" s="19"/>
      <c r="CQ152" s="19"/>
      <c r="CR152" s="19"/>
      <c r="CS152" s="19"/>
      <c r="CT152" s="19"/>
      <c r="CU152" s="20"/>
      <c r="CV152" s="20"/>
      <c r="DA152" s="18">
        <f t="shared" si="40"/>
        <v>0</v>
      </c>
      <c r="DB152" s="19">
        <f t="shared" si="41"/>
        <v>0</v>
      </c>
      <c r="DC152" s="19">
        <f t="shared" si="42"/>
        <v>0</v>
      </c>
      <c r="DD152" s="19">
        <f t="shared" si="43"/>
        <v>0</v>
      </c>
      <c r="DE152" s="19">
        <f t="shared" si="44"/>
        <v>0</v>
      </c>
      <c r="DF152" s="19">
        <f t="shared" si="45"/>
        <v>0</v>
      </c>
      <c r="DG152" s="19">
        <f t="shared" si="46"/>
        <v>0</v>
      </c>
      <c r="DH152" s="20">
        <f t="shared" si="47"/>
        <v>0</v>
      </c>
      <c r="DI152" s="20">
        <f t="shared" si="48"/>
        <v>0</v>
      </c>
      <c r="DJ152" s="2"/>
    </row>
    <row r="153" spans="80:114" x14ac:dyDescent="0.3">
      <c r="CB153" s="18"/>
      <c r="CC153" s="19"/>
      <c r="CD153" s="19"/>
      <c r="CE153" s="19"/>
      <c r="CF153" s="19"/>
      <c r="CG153" s="19"/>
      <c r="CH153" s="19"/>
      <c r="CI153" s="20"/>
      <c r="CJ153" s="20"/>
      <c r="CN153" s="18"/>
      <c r="CO153" s="19"/>
      <c r="CP153" s="19"/>
      <c r="CQ153" s="19"/>
      <c r="CR153" s="19"/>
      <c r="CS153" s="19"/>
      <c r="CT153" s="19"/>
      <c r="CU153" s="20"/>
      <c r="CV153" s="20"/>
      <c r="DA153" s="18">
        <f t="shared" si="40"/>
        <v>0</v>
      </c>
      <c r="DB153" s="19">
        <f t="shared" si="41"/>
        <v>0</v>
      </c>
      <c r="DC153" s="19">
        <f t="shared" si="42"/>
        <v>0</v>
      </c>
      <c r="DD153" s="19">
        <f t="shared" si="43"/>
        <v>0</v>
      </c>
      <c r="DE153" s="19">
        <f t="shared" si="44"/>
        <v>0</v>
      </c>
      <c r="DF153" s="19">
        <f t="shared" si="45"/>
        <v>0</v>
      </c>
      <c r="DG153" s="19">
        <f t="shared" si="46"/>
        <v>0</v>
      </c>
      <c r="DH153" s="20">
        <f t="shared" si="47"/>
        <v>0</v>
      </c>
      <c r="DI153" s="20">
        <f t="shared" si="48"/>
        <v>0</v>
      </c>
      <c r="DJ153" s="2"/>
    </row>
    <row r="154" spans="80:114" x14ac:dyDescent="0.3">
      <c r="CB154" s="18"/>
      <c r="CC154" s="19"/>
      <c r="CD154" s="19"/>
      <c r="CE154" s="19"/>
      <c r="CF154" s="19"/>
      <c r="CG154" s="19"/>
      <c r="CH154" s="19"/>
      <c r="CI154" s="20"/>
      <c r="CJ154" s="20"/>
      <c r="CN154" s="18"/>
      <c r="CO154" s="19"/>
      <c r="CP154" s="19"/>
      <c r="CQ154" s="19"/>
      <c r="CR154" s="19"/>
      <c r="CS154" s="19"/>
      <c r="CT154" s="19"/>
      <c r="CU154" s="20"/>
      <c r="CV154" s="20"/>
      <c r="DA154" s="18">
        <f t="shared" si="40"/>
        <v>0</v>
      </c>
      <c r="DB154" s="19">
        <f t="shared" si="41"/>
        <v>0</v>
      </c>
      <c r="DC154" s="19">
        <f t="shared" si="42"/>
        <v>0</v>
      </c>
      <c r="DD154" s="19">
        <f t="shared" si="43"/>
        <v>0</v>
      </c>
      <c r="DE154" s="19">
        <f t="shared" si="44"/>
        <v>0</v>
      </c>
      <c r="DF154" s="19">
        <f t="shared" si="45"/>
        <v>0</v>
      </c>
      <c r="DG154" s="19">
        <f t="shared" si="46"/>
        <v>0</v>
      </c>
      <c r="DH154" s="20">
        <f t="shared" si="47"/>
        <v>0</v>
      </c>
      <c r="DI154" s="20">
        <f t="shared" si="48"/>
        <v>0</v>
      </c>
      <c r="DJ154" s="2"/>
    </row>
    <row r="155" spans="80:114" x14ac:dyDescent="0.3">
      <c r="CB155" s="18"/>
      <c r="CC155" s="19"/>
      <c r="CD155" s="19"/>
      <c r="CE155" s="19"/>
      <c r="CF155" s="19"/>
      <c r="CG155" s="19"/>
      <c r="CH155" s="19"/>
      <c r="CI155" s="20"/>
      <c r="CJ155" s="20"/>
      <c r="CN155" s="18"/>
      <c r="CO155" s="19"/>
      <c r="CP155" s="19"/>
      <c r="CQ155" s="19"/>
      <c r="CR155" s="19"/>
      <c r="CS155" s="19"/>
      <c r="CT155" s="19"/>
      <c r="CU155" s="20"/>
      <c r="CV155" s="20"/>
      <c r="DA155" s="18">
        <f t="shared" si="40"/>
        <v>0</v>
      </c>
      <c r="DB155" s="19">
        <f t="shared" si="41"/>
        <v>0</v>
      </c>
      <c r="DC155" s="19">
        <f t="shared" si="42"/>
        <v>0</v>
      </c>
      <c r="DD155" s="19">
        <f t="shared" si="43"/>
        <v>0</v>
      </c>
      <c r="DE155" s="19">
        <f t="shared" si="44"/>
        <v>0</v>
      </c>
      <c r="DF155" s="19">
        <f t="shared" si="45"/>
        <v>0</v>
      </c>
      <c r="DG155" s="19">
        <f t="shared" si="46"/>
        <v>0</v>
      </c>
      <c r="DH155" s="20">
        <f t="shared" si="47"/>
        <v>0</v>
      </c>
      <c r="DI155" s="20">
        <f t="shared" si="48"/>
        <v>0</v>
      </c>
      <c r="DJ155" s="2"/>
    </row>
    <row r="156" spans="80:114" x14ac:dyDescent="0.3">
      <c r="CB156" s="18"/>
      <c r="CC156" s="19"/>
      <c r="CD156" s="19"/>
      <c r="CE156" s="19"/>
      <c r="CF156" s="19"/>
      <c r="CG156" s="19"/>
      <c r="CH156" s="19"/>
      <c r="CI156" s="20"/>
      <c r="CJ156" s="20"/>
      <c r="CN156" s="18"/>
      <c r="CO156" s="19"/>
      <c r="CP156" s="19"/>
      <c r="CQ156" s="19"/>
      <c r="CR156" s="19"/>
      <c r="CS156" s="19"/>
      <c r="CT156" s="19"/>
      <c r="CU156" s="20"/>
      <c r="CV156" s="20"/>
      <c r="DA156" s="18">
        <f t="shared" si="40"/>
        <v>0</v>
      </c>
      <c r="DB156" s="19">
        <f t="shared" si="41"/>
        <v>0</v>
      </c>
      <c r="DC156" s="19">
        <f t="shared" si="42"/>
        <v>0</v>
      </c>
      <c r="DD156" s="19">
        <f t="shared" si="43"/>
        <v>0</v>
      </c>
      <c r="DE156" s="19">
        <f t="shared" si="44"/>
        <v>0</v>
      </c>
      <c r="DF156" s="19">
        <f t="shared" si="45"/>
        <v>0</v>
      </c>
      <c r="DG156" s="19">
        <f t="shared" si="46"/>
        <v>0</v>
      </c>
      <c r="DH156" s="20">
        <f t="shared" si="47"/>
        <v>0</v>
      </c>
      <c r="DI156" s="20">
        <f t="shared" si="48"/>
        <v>0</v>
      </c>
      <c r="DJ156" s="2"/>
    </row>
    <row r="157" spans="80:114" x14ac:dyDescent="0.3">
      <c r="CB157" s="18"/>
      <c r="CC157" s="19"/>
      <c r="CD157" s="19"/>
      <c r="CE157" s="19"/>
      <c r="CF157" s="19"/>
      <c r="CG157" s="19"/>
      <c r="CH157" s="19"/>
      <c r="CI157" s="20"/>
      <c r="CJ157" s="20"/>
      <c r="CN157" s="18"/>
      <c r="CO157" s="19"/>
      <c r="CP157" s="19"/>
      <c r="CQ157" s="19"/>
      <c r="CR157" s="19"/>
      <c r="CS157" s="19"/>
      <c r="CT157" s="19"/>
      <c r="CU157" s="20"/>
      <c r="CV157" s="20"/>
      <c r="DA157" s="18">
        <f t="shared" si="40"/>
        <v>0</v>
      </c>
      <c r="DB157" s="19">
        <f t="shared" si="41"/>
        <v>0</v>
      </c>
      <c r="DC157" s="19">
        <f t="shared" si="42"/>
        <v>0</v>
      </c>
      <c r="DD157" s="19">
        <f t="shared" si="43"/>
        <v>0</v>
      </c>
      <c r="DE157" s="19">
        <f t="shared" si="44"/>
        <v>0</v>
      </c>
      <c r="DF157" s="19">
        <f t="shared" si="45"/>
        <v>0</v>
      </c>
      <c r="DG157" s="19">
        <f t="shared" si="46"/>
        <v>0</v>
      </c>
      <c r="DH157" s="20">
        <f t="shared" si="47"/>
        <v>0</v>
      </c>
      <c r="DI157" s="20">
        <f t="shared" si="48"/>
        <v>0</v>
      </c>
      <c r="DJ157" s="2"/>
    </row>
    <row r="158" spans="80:114" x14ac:dyDescent="0.3">
      <c r="CB158" s="18"/>
      <c r="CC158" s="19"/>
      <c r="CD158" s="19"/>
      <c r="CE158" s="19"/>
      <c r="CF158" s="19"/>
      <c r="CG158" s="19"/>
      <c r="CH158" s="19"/>
      <c r="CI158" s="20"/>
      <c r="CJ158" s="20"/>
      <c r="CN158" s="18"/>
      <c r="CO158" s="19"/>
      <c r="CP158" s="19"/>
      <c r="CQ158" s="19"/>
      <c r="CR158" s="19"/>
      <c r="CS158" s="19"/>
      <c r="CT158" s="19"/>
      <c r="CU158" s="20"/>
      <c r="CV158" s="20"/>
      <c r="DA158" s="18">
        <f t="shared" si="40"/>
        <v>0</v>
      </c>
      <c r="DB158" s="19">
        <f t="shared" si="41"/>
        <v>0</v>
      </c>
      <c r="DC158" s="19">
        <f t="shared" si="42"/>
        <v>0</v>
      </c>
      <c r="DD158" s="19">
        <f t="shared" si="43"/>
        <v>0</v>
      </c>
      <c r="DE158" s="19">
        <f t="shared" si="44"/>
        <v>0</v>
      </c>
      <c r="DF158" s="19">
        <f t="shared" si="45"/>
        <v>0</v>
      </c>
      <c r="DG158" s="19">
        <f t="shared" si="46"/>
        <v>0</v>
      </c>
      <c r="DH158" s="20">
        <f t="shared" si="47"/>
        <v>0</v>
      </c>
      <c r="DI158" s="20">
        <f t="shared" si="48"/>
        <v>0</v>
      </c>
      <c r="DJ158" s="2"/>
    </row>
    <row r="159" spans="80:114" x14ac:dyDescent="0.3">
      <c r="CB159" s="18"/>
      <c r="CC159" s="19"/>
      <c r="CD159" s="19"/>
      <c r="CE159" s="19"/>
      <c r="CF159" s="19"/>
      <c r="CG159" s="19"/>
      <c r="CH159" s="19"/>
      <c r="CI159" s="20"/>
      <c r="CJ159" s="20"/>
      <c r="CN159" s="18"/>
      <c r="CO159" s="19"/>
      <c r="CP159" s="19"/>
      <c r="CQ159" s="19"/>
      <c r="CR159" s="19"/>
      <c r="CS159" s="19"/>
      <c r="CT159" s="19"/>
      <c r="CU159" s="20"/>
      <c r="CV159" s="20"/>
      <c r="DA159" s="18">
        <f t="shared" si="40"/>
        <v>0</v>
      </c>
      <c r="DB159" s="19">
        <f t="shared" si="41"/>
        <v>0</v>
      </c>
      <c r="DC159" s="19">
        <f t="shared" si="42"/>
        <v>0</v>
      </c>
      <c r="DD159" s="19">
        <f t="shared" si="43"/>
        <v>0</v>
      </c>
      <c r="DE159" s="19">
        <f t="shared" si="44"/>
        <v>0</v>
      </c>
      <c r="DF159" s="19">
        <f t="shared" si="45"/>
        <v>0</v>
      </c>
      <c r="DG159" s="19">
        <f t="shared" si="46"/>
        <v>0</v>
      </c>
      <c r="DH159" s="20">
        <f t="shared" si="47"/>
        <v>0</v>
      </c>
      <c r="DI159" s="20">
        <f t="shared" si="48"/>
        <v>0</v>
      </c>
      <c r="DJ159" s="2"/>
    </row>
    <row r="160" spans="80:114" x14ac:dyDescent="0.3">
      <c r="CB160" s="18"/>
      <c r="CC160" s="19"/>
      <c r="CD160" s="19"/>
      <c r="CE160" s="19"/>
      <c r="CF160" s="19"/>
      <c r="CG160" s="19"/>
      <c r="CH160" s="19"/>
      <c r="CI160" s="20"/>
      <c r="CJ160" s="20"/>
      <c r="CN160" s="18"/>
      <c r="CO160" s="19"/>
      <c r="CP160" s="19"/>
      <c r="CQ160" s="19"/>
      <c r="CR160" s="19"/>
      <c r="CS160" s="19"/>
      <c r="CT160" s="19"/>
      <c r="CU160" s="20"/>
      <c r="CV160" s="20"/>
      <c r="DA160" s="18">
        <f t="shared" si="40"/>
        <v>0</v>
      </c>
      <c r="DB160" s="19">
        <f t="shared" si="41"/>
        <v>0</v>
      </c>
      <c r="DC160" s="19">
        <f t="shared" si="42"/>
        <v>0</v>
      </c>
      <c r="DD160" s="19">
        <f t="shared" si="43"/>
        <v>0</v>
      </c>
      <c r="DE160" s="19">
        <f t="shared" si="44"/>
        <v>0</v>
      </c>
      <c r="DF160" s="19">
        <f t="shared" si="45"/>
        <v>0</v>
      </c>
      <c r="DG160" s="19">
        <f t="shared" si="46"/>
        <v>0</v>
      </c>
      <c r="DH160" s="20">
        <f t="shared" si="47"/>
        <v>0</v>
      </c>
      <c r="DI160" s="20">
        <f t="shared" si="48"/>
        <v>0</v>
      </c>
      <c r="DJ160" s="2"/>
    </row>
    <row r="161" spans="80:114" x14ac:dyDescent="0.3">
      <c r="CB161" s="18"/>
      <c r="CC161" s="19"/>
      <c r="CD161" s="19"/>
      <c r="CE161" s="19"/>
      <c r="CF161" s="19"/>
      <c r="CG161" s="19"/>
      <c r="CH161" s="19"/>
      <c r="CI161" s="20"/>
      <c r="CJ161" s="20"/>
      <c r="CN161" s="18"/>
      <c r="CO161" s="19"/>
      <c r="CP161" s="19"/>
      <c r="CQ161" s="19"/>
      <c r="CR161" s="19"/>
      <c r="CS161" s="19"/>
      <c r="CT161" s="19"/>
      <c r="CU161" s="20"/>
      <c r="CV161" s="20"/>
      <c r="DA161" s="18">
        <f t="shared" si="40"/>
        <v>0</v>
      </c>
      <c r="DB161" s="19">
        <f t="shared" si="41"/>
        <v>0</v>
      </c>
      <c r="DC161" s="19">
        <f t="shared" si="42"/>
        <v>0</v>
      </c>
      <c r="DD161" s="19">
        <f t="shared" si="43"/>
        <v>0</v>
      </c>
      <c r="DE161" s="19">
        <f t="shared" si="44"/>
        <v>0</v>
      </c>
      <c r="DF161" s="19">
        <f t="shared" si="45"/>
        <v>0</v>
      </c>
      <c r="DG161" s="19">
        <f t="shared" si="46"/>
        <v>0</v>
      </c>
      <c r="DH161" s="20">
        <f t="shared" si="47"/>
        <v>0</v>
      </c>
      <c r="DI161" s="20">
        <f t="shared" si="48"/>
        <v>0</v>
      </c>
      <c r="DJ161" s="2"/>
    </row>
    <row r="162" spans="80:114" x14ac:dyDescent="0.3">
      <c r="CB162" s="18"/>
      <c r="CC162" s="19"/>
      <c r="CD162" s="19"/>
      <c r="CE162" s="19"/>
      <c r="CF162" s="19"/>
      <c r="CG162" s="19"/>
      <c r="CH162" s="19"/>
      <c r="CI162" s="20"/>
      <c r="CJ162" s="20"/>
      <c r="CN162" s="18"/>
      <c r="CO162" s="19"/>
      <c r="CP162" s="19"/>
      <c r="CQ162" s="19"/>
      <c r="CR162" s="19"/>
      <c r="CS162" s="19"/>
      <c r="CT162" s="19"/>
      <c r="CU162" s="20"/>
      <c r="CV162" s="20"/>
      <c r="DA162" s="18">
        <f t="shared" si="40"/>
        <v>0</v>
      </c>
      <c r="DB162" s="19">
        <f t="shared" si="41"/>
        <v>0</v>
      </c>
      <c r="DC162" s="19">
        <f t="shared" si="42"/>
        <v>0</v>
      </c>
      <c r="DD162" s="19">
        <f t="shared" si="43"/>
        <v>0</v>
      </c>
      <c r="DE162" s="19">
        <f t="shared" si="44"/>
        <v>0</v>
      </c>
      <c r="DF162" s="19">
        <f t="shared" si="45"/>
        <v>0</v>
      </c>
      <c r="DG162" s="19">
        <f t="shared" si="46"/>
        <v>0</v>
      </c>
      <c r="DH162" s="20">
        <f t="shared" si="47"/>
        <v>0</v>
      </c>
      <c r="DI162" s="20">
        <f t="shared" si="48"/>
        <v>0</v>
      </c>
      <c r="DJ162" s="2"/>
    </row>
    <row r="163" spans="80:114" x14ac:dyDescent="0.3">
      <c r="CB163" s="18"/>
      <c r="CC163" s="19"/>
      <c r="CD163" s="19"/>
      <c r="CE163" s="19"/>
      <c r="CF163" s="19"/>
      <c r="CG163" s="19"/>
      <c r="CH163" s="19"/>
      <c r="CI163" s="20"/>
      <c r="CJ163" s="20"/>
      <c r="CN163" s="18"/>
      <c r="CO163" s="19"/>
      <c r="CP163" s="19"/>
      <c r="CQ163" s="19"/>
      <c r="CR163" s="19"/>
      <c r="CS163" s="19"/>
      <c r="CT163" s="19"/>
      <c r="CU163" s="20"/>
      <c r="CV163" s="20"/>
      <c r="DA163" s="18">
        <f t="shared" si="40"/>
        <v>0</v>
      </c>
      <c r="DB163" s="19">
        <f t="shared" si="41"/>
        <v>0</v>
      </c>
      <c r="DC163" s="19">
        <f t="shared" si="42"/>
        <v>0</v>
      </c>
      <c r="DD163" s="19">
        <f t="shared" si="43"/>
        <v>0</v>
      </c>
      <c r="DE163" s="19">
        <f t="shared" si="44"/>
        <v>0</v>
      </c>
      <c r="DF163" s="19">
        <f t="shared" si="45"/>
        <v>0</v>
      </c>
      <c r="DG163" s="19">
        <f t="shared" si="46"/>
        <v>0</v>
      </c>
      <c r="DH163" s="20">
        <f t="shared" si="47"/>
        <v>0</v>
      </c>
      <c r="DI163" s="20">
        <f t="shared" si="48"/>
        <v>0</v>
      </c>
      <c r="DJ163" s="2"/>
    </row>
    <row r="164" spans="80:114" x14ac:dyDescent="0.3">
      <c r="CB164" s="18"/>
      <c r="CC164" s="19"/>
      <c r="CD164" s="19"/>
      <c r="CE164" s="19"/>
      <c r="CF164" s="19"/>
      <c r="CG164" s="19"/>
      <c r="CH164" s="19"/>
      <c r="CI164" s="20"/>
      <c r="CJ164" s="20"/>
      <c r="CN164" s="18"/>
      <c r="CO164" s="19"/>
      <c r="CP164" s="19"/>
      <c r="CQ164" s="19"/>
      <c r="CR164" s="19"/>
      <c r="CS164" s="19"/>
      <c r="CT164" s="19"/>
      <c r="CU164" s="20"/>
      <c r="CV164" s="20"/>
      <c r="DA164" s="18">
        <f t="shared" si="40"/>
        <v>0</v>
      </c>
      <c r="DB164" s="19">
        <f t="shared" si="41"/>
        <v>0</v>
      </c>
      <c r="DC164" s="19">
        <f t="shared" si="42"/>
        <v>0</v>
      </c>
      <c r="DD164" s="19">
        <f t="shared" si="43"/>
        <v>0</v>
      </c>
      <c r="DE164" s="19">
        <f t="shared" si="44"/>
        <v>0</v>
      </c>
      <c r="DF164" s="19">
        <f t="shared" si="45"/>
        <v>0</v>
      </c>
      <c r="DG164" s="19">
        <f t="shared" si="46"/>
        <v>0</v>
      </c>
      <c r="DH164" s="20">
        <f t="shared" si="47"/>
        <v>0</v>
      </c>
      <c r="DI164" s="20">
        <f t="shared" si="48"/>
        <v>0</v>
      </c>
      <c r="DJ164" s="2"/>
    </row>
    <row r="165" spans="80:114" x14ac:dyDescent="0.3">
      <c r="CB165" s="18"/>
      <c r="CC165" s="19"/>
      <c r="CD165" s="19"/>
      <c r="CE165" s="19"/>
      <c r="CF165" s="19"/>
      <c r="CG165" s="19"/>
      <c r="CH165" s="19"/>
      <c r="CI165" s="20"/>
      <c r="CJ165" s="20"/>
      <c r="CN165" s="18"/>
      <c r="CO165" s="19"/>
      <c r="CP165" s="19"/>
      <c r="CQ165" s="19"/>
      <c r="CR165" s="19"/>
      <c r="CS165" s="19"/>
      <c r="CT165" s="19"/>
      <c r="CU165" s="20"/>
      <c r="CV165" s="20"/>
      <c r="DA165" s="18">
        <f t="shared" si="40"/>
        <v>0</v>
      </c>
      <c r="DB165" s="19">
        <f t="shared" si="41"/>
        <v>0</v>
      </c>
      <c r="DC165" s="19">
        <f t="shared" si="42"/>
        <v>0</v>
      </c>
      <c r="DD165" s="19">
        <f t="shared" si="43"/>
        <v>0</v>
      </c>
      <c r="DE165" s="19">
        <f t="shared" si="44"/>
        <v>0</v>
      </c>
      <c r="DF165" s="19">
        <f t="shared" si="45"/>
        <v>0</v>
      </c>
      <c r="DG165" s="19">
        <f t="shared" si="46"/>
        <v>0</v>
      </c>
      <c r="DH165" s="20">
        <f t="shared" si="47"/>
        <v>0</v>
      </c>
      <c r="DI165" s="20">
        <f t="shared" si="48"/>
        <v>0</v>
      </c>
      <c r="DJ165" s="2"/>
    </row>
    <row r="166" spans="80:114" x14ac:dyDescent="0.3">
      <c r="CB166" s="18"/>
      <c r="CC166" s="19"/>
      <c r="CD166" s="19"/>
      <c r="CE166" s="19"/>
      <c r="CF166" s="19"/>
      <c r="CG166" s="19"/>
      <c r="CH166" s="19"/>
      <c r="CI166" s="20"/>
      <c r="CJ166" s="20"/>
      <c r="CN166" s="18"/>
      <c r="CO166" s="19"/>
      <c r="CP166" s="19"/>
      <c r="CQ166" s="19"/>
      <c r="CR166" s="19"/>
      <c r="CS166" s="19"/>
      <c r="CT166" s="19"/>
      <c r="CU166" s="20"/>
      <c r="CV166" s="20"/>
      <c r="DA166" s="18">
        <f t="shared" si="40"/>
        <v>0</v>
      </c>
      <c r="DB166" s="19">
        <f t="shared" si="41"/>
        <v>0</v>
      </c>
      <c r="DC166" s="19">
        <f t="shared" si="42"/>
        <v>0</v>
      </c>
      <c r="DD166" s="19">
        <f t="shared" si="43"/>
        <v>0</v>
      </c>
      <c r="DE166" s="19">
        <f t="shared" si="44"/>
        <v>0</v>
      </c>
      <c r="DF166" s="19">
        <f t="shared" si="45"/>
        <v>0</v>
      </c>
      <c r="DG166" s="19">
        <f t="shared" si="46"/>
        <v>0</v>
      </c>
      <c r="DH166" s="20">
        <f t="shared" si="47"/>
        <v>0</v>
      </c>
      <c r="DI166" s="20">
        <f t="shared" si="48"/>
        <v>0</v>
      </c>
      <c r="DJ166" s="2"/>
    </row>
    <row r="167" spans="80:114" x14ac:dyDescent="0.3">
      <c r="CB167" s="18"/>
      <c r="CC167" s="19"/>
      <c r="CD167" s="19"/>
      <c r="CE167" s="19"/>
      <c r="CF167" s="19"/>
      <c r="CG167" s="19"/>
      <c r="CH167" s="19"/>
      <c r="CI167" s="20"/>
      <c r="CJ167" s="20"/>
      <c r="CN167" s="18"/>
      <c r="CO167" s="19"/>
      <c r="CP167" s="19"/>
      <c r="CQ167" s="19"/>
      <c r="CR167" s="19"/>
      <c r="CS167" s="19"/>
      <c r="CT167" s="19"/>
      <c r="CU167" s="20"/>
      <c r="CV167" s="20"/>
      <c r="DA167" s="18">
        <f t="shared" si="40"/>
        <v>0</v>
      </c>
      <c r="DB167" s="19">
        <f t="shared" si="41"/>
        <v>0</v>
      </c>
      <c r="DC167" s="19">
        <f t="shared" si="42"/>
        <v>0</v>
      </c>
      <c r="DD167" s="19">
        <f t="shared" si="43"/>
        <v>0</v>
      </c>
      <c r="DE167" s="19">
        <f t="shared" si="44"/>
        <v>0</v>
      </c>
      <c r="DF167" s="19">
        <f t="shared" si="45"/>
        <v>0</v>
      </c>
      <c r="DG167" s="19">
        <f t="shared" si="46"/>
        <v>0</v>
      </c>
      <c r="DH167" s="20">
        <f t="shared" si="47"/>
        <v>0</v>
      </c>
      <c r="DI167" s="20">
        <f t="shared" si="48"/>
        <v>0</v>
      </c>
      <c r="DJ167" s="2"/>
    </row>
    <row r="168" spans="80:114" x14ac:dyDescent="0.3">
      <c r="CB168" s="18"/>
      <c r="CC168" s="19"/>
      <c r="CD168" s="19"/>
      <c r="CE168" s="19"/>
      <c r="CF168" s="19"/>
      <c r="CG168" s="19"/>
      <c r="CH168" s="19"/>
      <c r="CI168" s="20"/>
      <c r="CJ168" s="20"/>
      <c r="CN168" s="18"/>
      <c r="CO168" s="19"/>
      <c r="CP168" s="19"/>
      <c r="CQ168" s="19"/>
      <c r="CR168" s="19"/>
      <c r="CS168" s="19"/>
      <c r="CT168" s="19"/>
      <c r="CU168" s="20"/>
      <c r="CV168" s="20"/>
      <c r="DA168" s="18">
        <f t="shared" si="40"/>
        <v>0</v>
      </c>
      <c r="DB168" s="19">
        <f t="shared" si="41"/>
        <v>0</v>
      </c>
      <c r="DC168" s="19">
        <f t="shared" si="42"/>
        <v>0</v>
      </c>
      <c r="DD168" s="19">
        <f t="shared" si="43"/>
        <v>0</v>
      </c>
      <c r="DE168" s="19">
        <f t="shared" si="44"/>
        <v>0</v>
      </c>
      <c r="DF168" s="19">
        <f t="shared" si="45"/>
        <v>0</v>
      </c>
      <c r="DG168" s="19">
        <f t="shared" si="46"/>
        <v>0</v>
      </c>
      <c r="DH168" s="20">
        <f t="shared" si="47"/>
        <v>0</v>
      </c>
      <c r="DI168" s="20">
        <f t="shared" si="48"/>
        <v>0</v>
      </c>
      <c r="DJ168" s="2"/>
    </row>
    <row r="169" spans="80:114" x14ac:dyDescent="0.3">
      <c r="CB169" s="18"/>
      <c r="CC169" s="19"/>
      <c r="CD169" s="19"/>
      <c r="CE169" s="19"/>
      <c r="CF169" s="19"/>
      <c r="CG169" s="19"/>
      <c r="CH169" s="19"/>
      <c r="CI169" s="20"/>
      <c r="CJ169" s="20"/>
      <c r="CN169" s="18"/>
      <c r="CO169" s="19"/>
      <c r="CP169" s="19"/>
      <c r="CQ169" s="19"/>
      <c r="CR169" s="19"/>
      <c r="CS169" s="19"/>
      <c r="CT169" s="19"/>
      <c r="CU169" s="20"/>
      <c r="CV169" s="20"/>
      <c r="DA169" s="18">
        <f t="shared" si="40"/>
        <v>0</v>
      </c>
      <c r="DB169" s="19">
        <f t="shared" si="41"/>
        <v>0</v>
      </c>
      <c r="DC169" s="19">
        <f t="shared" si="42"/>
        <v>0</v>
      </c>
      <c r="DD169" s="19">
        <f t="shared" si="43"/>
        <v>0</v>
      </c>
      <c r="DE169" s="19">
        <f t="shared" si="44"/>
        <v>0</v>
      </c>
      <c r="DF169" s="19">
        <f t="shared" si="45"/>
        <v>0</v>
      </c>
      <c r="DG169" s="19">
        <f t="shared" si="46"/>
        <v>0</v>
      </c>
      <c r="DH169" s="20">
        <f t="shared" si="47"/>
        <v>0</v>
      </c>
      <c r="DI169" s="20">
        <f t="shared" si="48"/>
        <v>0</v>
      </c>
      <c r="DJ169" s="2"/>
    </row>
    <row r="170" spans="80:114" x14ac:dyDescent="0.3">
      <c r="CB170" s="18"/>
      <c r="CC170" s="19"/>
      <c r="CD170" s="19"/>
      <c r="CE170" s="19"/>
      <c r="CF170" s="19"/>
      <c r="CG170" s="19"/>
      <c r="CH170" s="19"/>
      <c r="CI170" s="20"/>
      <c r="CJ170" s="20"/>
      <c r="CN170" s="18"/>
      <c r="CO170" s="19"/>
      <c r="CP170" s="19"/>
      <c r="CQ170" s="19"/>
      <c r="CR170" s="19"/>
      <c r="CS170" s="19"/>
      <c r="CT170" s="19"/>
      <c r="CU170" s="20"/>
      <c r="CV170" s="20"/>
      <c r="DA170" s="18">
        <f t="shared" si="40"/>
        <v>0</v>
      </c>
      <c r="DB170" s="19">
        <f t="shared" si="41"/>
        <v>0</v>
      </c>
      <c r="DC170" s="19">
        <f t="shared" si="42"/>
        <v>0</v>
      </c>
      <c r="DD170" s="19">
        <f t="shared" si="43"/>
        <v>0</v>
      </c>
      <c r="DE170" s="19">
        <f t="shared" si="44"/>
        <v>0</v>
      </c>
      <c r="DF170" s="19">
        <f t="shared" si="45"/>
        <v>0</v>
      </c>
      <c r="DG170" s="19">
        <f t="shared" si="46"/>
        <v>0</v>
      </c>
      <c r="DH170" s="20">
        <f t="shared" si="47"/>
        <v>0</v>
      </c>
      <c r="DI170" s="20">
        <f t="shared" si="48"/>
        <v>0</v>
      </c>
      <c r="DJ170" s="2"/>
    </row>
    <row r="171" spans="80:114" x14ac:dyDescent="0.3">
      <c r="CB171" s="18"/>
      <c r="CC171" s="19"/>
      <c r="CD171" s="19"/>
      <c r="CE171" s="19"/>
      <c r="CF171" s="19"/>
      <c r="CG171" s="19"/>
      <c r="CH171" s="19"/>
      <c r="CI171" s="20"/>
      <c r="CJ171" s="20"/>
      <c r="CN171" s="18"/>
      <c r="CO171" s="19"/>
      <c r="CP171" s="19"/>
      <c r="CQ171" s="19"/>
      <c r="CR171" s="19"/>
      <c r="CS171" s="19"/>
      <c r="CT171" s="19"/>
      <c r="CU171" s="20"/>
      <c r="CV171" s="20"/>
      <c r="DA171" s="18">
        <f t="shared" si="40"/>
        <v>0</v>
      </c>
      <c r="DB171" s="19">
        <f t="shared" si="41"/>
        <v>0</v>
      </c>
      <c r="DC171" s="19">
        <f t="shared" si="42"/>
        <v>0</v>
      </c>
      <c r="DD171" s="19">
        <f t="shared" si="43"/>
        <v>0</v>
      </c>
      <c r="DE171" s="19">
        <f t="shared" si="44"/>
        <v>0</v>
      </c>
      <c r="DF171" s="19">
        <f t="shared" si="45"/>
        <v>0</v>
      </c>
      <c r="DG171" s="19">
        <f t="shared" si="46"/>
        <v>0</v>
      </c>
      <c r="DH171" s="20">
        <f t="shared" si="47"/>
        <v>0</v>
      </c>
      <c r="DI171" s="20">
        <f t="shared" si="48"/>
        <v>0</v>
      </c>
      <c r="DJ171" s="2"/>
    </row>
    <row r="172" spans="80:114" x14ac:dyDescent="0.3">
      <c r="CB172" s="18"/>
      <c r="CC172" s="19"/>
      <c r="CD172" s="19"/>
      <c r="CE172" s="19"/>
      <c r="CF172" s="19"/>
      <c r="CG172" s="19"/>
      <c r="CH172" s="19"/>
      <c r="CI172" s="20"/>
      <c r="CJ172" s="20"/>
      <c r="CN172" s="18"/>
      <c r="CO172" s="19"/>
      <c r="CP172" s="19"/>
      <c r="CQ172" s="19"/>
      <c r="CR172" s="19"/>
      <c r="CS172" s="19"/>
      <c r="CT172" s="19"/>
      <c r="CU172" s="20"/>
      <c r="CV172" s="20"/>
      <c r="DA172" s="18">
        <f t="shared" si="40"/>
        <v>0</v>
      </c>
      <c r="DB172" s="19">
        <f t="shared" si="41"/>
        <v>0</v>
      </c>
      <c r="DC172" s="19">
        <f t="shared" si="42"/>
        <v>0</v>
      </c>
      <c r="DD172" s="19">
        <f t="shared" si="43"/>
        <v>0</v>
      </c>
      <c r="DE172" s="19">
        <f t="shared" si="44"/>
        <v>0</v>
      </c>
      <c r="DF172" s="19">
        <f t="shared" si="45"/>
        <v>0</v>
      </c>
      <c r="DG172" s="19">
        <f t="shared" si="46"/>
        <v>0</v>
      </c>
      <c r="DH172" s="20">
        <f t="shared" si="47"/>
        <v>0</v>
      </c>
      <c r="DI172" s="20">
        <f t="shared" si="48"/>
        <v>0</v>
      </c>
      <c r="DJ172" s="2"/>
    </row>
    <row r="173" spans="80:114" x14ac:dyDescent="0.3">
      <c r="CB173" s="18"/>
      <c r="CC173" s="19"/>
      <c r="CD173" s="19"/>
      <c r="CE173" s="19"/>
      <c r="CF173" s="19"/>
      <c r="CG173" s="19"/>
      <c r="CH173" s="19"/>
      <c r="CI173" s="20"/>
      <c r="CJ173" s="20"/>
      <c r="CN173" s="18"/>
      <c r="CO173" s="19"/>
      <c r="CP173" s="19"/>
      <c r="CQ173" s="19"/>
      <c r="CR173" s="19"/>
      <c r="CS173" s="19"/>
      <c r="CT173" s="19"/>
      <c r="CU173" s="20"/>
      <c r="CV173" s="20"/>
      <c r="DA173" s="18">
        <f t="shared" si="40"/>
        <v>0</v>
      </c>
      <c r="DB173" s="19">
        <f t="shared" si="41"/>
        <v>0</v>
      </c>
      <c r="DC173" s="19">
        <f t="shared" si="42"/>
        <v>0</v>
      </c>
      <c r="DD173" s="19">
        <f t="shared" si="43"/>
        <v>0</v>
      </c>
      <c r="DE173" s="19">
        <f t="shared" si="44"/>
        <v>0</v>
      </c>
      <c r="DF173" s="19">
        <f t="shared" si="45"/>
        <v>0</v>
      </c>
      <c r="DG173" s="19">
        <f t="shared" si="46"/>
        <v>0</v>
      </c>
      <c r="DH173" s="20">
        <f t="shared" si="47"/>
        <v>0</v>
      </c>
      <c r="DI173" s="20">
        <f t="shared" si="48"/>
        <v>0</v>
      </c>
      <c r="DJ173" s="2"/>
    </row>
    <row r="174" spans="80:114" x14ac:dyDescent="0.3">
      <c r="CB174" s="18"/>
      <c r="CC174" s="19"/>
      <c r="CD174" s="19"/>
      <c r="CE174" s="19"/>
      <c r="CF174" s="19"/>
      <c r="CG174" s="19"/>
      <c r="CH174" s="19"/>
      <c r="CI174" s="20"/>
      <c r="CJ174" s="20"/>
      <c r="CN174" s="18"/>
      <c r="CO174" s="19"/>
      <c r="CP174" s="19"/>
      <c r="CQ174" s="19"/>
      <c r="CR174" s="19"/>
      <c r="CS174" s="19"/>
      <c r="CT174" s="19"/>
      <c r="CU174" s="20"/>
      <c r="CV174" s="20"/>
      <c r="DA174" s="18">
        <f t="shared" si="40"/>
        <v>0</v>
      </c>
      <c r="DB174" s="19">
        <f t="shared" si="41"/>
        <v>0</v>
      </c>
      <c r="DC174" s="19">
        <f t="shared" si="42"/>
        <v>0</v>
      </c>
      <c r="DD174" s="19">
        <f t="shared" si="43"/>
        <v>0</v>
      </c>
      <c r="DE174" s="19">
        <f t="shared" si="44"/>
        <v>0</v>
      </c>
      <c r="DF174" s="19">
        <f t="shared" si="45"/>
        <v>0</v>
      </c>
      <c r="DG174" s="19">
        <f t="shared" si="46"/>
        <v>0</v>
      </c>
      <c r="DH174" s="20">
        <f t="shared" si="47"/>
        <v>0</v>
      </c>
      <c r="DI174" s="20">
        <f t="shared" si="48"/>
        <v>0</v>
      </c>
      <c r="DJ174" s="2"/>
    </row>
    <row r="175" spans="80:114" x14ac:dyDescent="0.3">
      <c r="CB175" s="18"/>
      <c r="CC175" s="19"/>
      <c r="CD175" s="19"/>
      <c r="CE175" s="19"/>
      <c r="CF175" s="19"/>
      <c r="CG175" s="19"/>
      <c r="CH175" s="19"/>
      <c r="CI175" s="20"/>
      <c r="CJ175" s="20"/>
      <c r="CN175" s="18"/>
      <c r="CO175" s="19"/>
      <c r="CP175" s="19"/>
      <c r="CQ175" s="19"/>
      <c r="CR175" s="19"/>
      <c r="CS175" s="19"/>
      <c r="CT175" s="19"/>
      <c r="CU175" s="20"/>
      <c r="CV175" s="20"/>
      <c r="DA175" s="18">
        <f t="shared" si="40"/>
        <v>0</v>
      </c>
      <c r="DB175" s="19">
        <f t="shared" si="41"/>
        <v>0</v>
      </c>
      <c r="DC175" s="19">
        <f t="shared" si="42"/>
        <v>0</v>
      </c>
      <c r="DD175" s="19">
        <f t="shared" si="43"/>
        <v>0</v>
      </c>
      <c r="DE175" s="19">
        <f t="shared" si="44"/>
        <v>0</v>
      </c>
      <c r="DF175" s="19">
        <f t="shared" si="45"/>
        <v>0</v>
      </c>
      <c r="DG175" s="19">
        <f t="shared" si="46"/>
        <v>0</v>
      </c>
      <c r="DH175" s="20">
        <f t="shared" si="47"/>
        <v>0</v>
      </c>
      <c r="DI175" s="20">
        <f t="shared" si="48"/>
        <v>0</v>
      </c>
      <c r="DJ175" s="2"/>
    </row>
    <row r="176" spans="80:114" x14ac:dyDescent="0.3">
      <c r="CB176" s="18"/>
      <c r="CC176" s="19"/>
      <c r="CD176" s="19"/>
      <c r="CE176" s="19"/>
      <c r="CF176" s="19"/>
      <c r="CG176" s="19"/>
      <c r="CH176" s="19"/>
      <c r="CI176" s="20"/>
      <c r="CJ176" s="20"/>
      <c r="CN176" s="18"/>
      <c r="CO176" s="19"/>
      <c r="CP176" s="19"/>
      <c r="CQ176" s="19"/>
      <c r="CR176" s="19"/>
      <c r="CS176" s="19"/>
      <c r="CT176" s="19"/>
      <c r="CU176" s="20"/>
      <c r="CV176" s="20"/>
      <c r="DA176" s="18">
        <f t="shared" si="40"/>
        <v>0</v>
      </c>
      <c r="DB176" s="19">
        <f t="shared" si="41"/>
        <v>0</v>
      </c>
      <c r="DC176" s="19">
        <f t="shared" si="42"/>
        <v>0</v>
      </c>
      <c r="DD176" s="19">
        <f t="shared" si="43"/>
        <v>0</v>
      </c>
      <c r="DE176" s="19">
        <f t="shared" si="44"/>
        <v>0</v>
      </c>
      <c r="DF176" s="19">
        <f t="shared" si="45"/>
        <v>0</v>
      </c>
      <c r="DG176" s="19">
        <f t="shared" si="46"/>
        <v>0</v>
      </c>
      <c r="DH176" s="20">
        <f t="shared" si="47"/>
        <v>0</v>
      </c>
      <c r="DI176" s="20">
        <f t="shared" si="48"/>
        <v>0</v>
      </c>
      <c r="DJ176" s="2"/>
    </row>
    <row r="177" spans="80:114" x14ac:dyDescent="0.3">
      <c r="CB177" s="18"/>
      <c r="CC177" s="19"/>
      <c r="CD177" s="19"/>
      <c r="CE177" s="19"/>
      <c r="CF177" s="19"/>
      <c r="CG177" s="19"/>
      <c r="CH177" s="19"/>
      <c r="CI177" s="20"/>
      <c r="CJ177" s="20"/>
      <c r="CN177" s="18"/>
      <c r="CO177" s="19"/>
      <c r="CP177" s="19"/>
      <c r="CQ177" s="19"/>
      <c r="CR177" s="19"/>
      <c r="CS177" s="19"/>
      <c r="CT177" s="19"/>
      <c r="CU177" s="20"/>
      <c r="CV177" s="20"/>
      <c r="DA177" s="18">
        <f t="shared" si="40"/>
        <v>0</v>
      </c>
      <c r="DB177" s="19">
        <f t="shared" si="41"/>
        <v>0</v>
      </c>
      <c r="DC177" s="19">
        <f t="shared" si="42"/>
        <v>0</v>
      </c>
      <c r="DD177" s="19">
        <f t="shared" si="43"/>
        <v>0</v>
      </c>
      <c r="DE177" s="19">
        <f t="shared" si="44"/>
        <v>0</v>
      </c>
      <c r="DF177" s="19">
        <f t="shared" si="45"/>
        <v>0</v>
      </c>
      <c r="DG177" s="19">
        <f t="shared" si="46"/>
        <v>0</v>
      </c>
      <c r="DH177" s="20">
        <f t="shared" si="47"/>
        <v>0</v>
      </c>
      <c r="DI177" s="20">
        <f t="shared" si="48"/>
        <v>0</v>
      </c>
      <c r="DJ177" s="2"/>
    </row>
    <row r="178" spans="80:114" x14ac:dyDescent="0.3">
      <c r="CB178" s="18"/>
      <c r="CC178" s="19"/>
      <c r="CD178" s="19"/>
      <c r="CE178" s="19"/>
      <c r="CF178" s="19"/>
      <c r="CG178" s="19"/>
      <c r="CH178" s="19"/>
      <c r="CI178" s="20"/>
      <c r="CJ178" s="20"/>
      <c r="CN178" s="18"/>
      <c r="CO178" s="19"/>
      <c r="CP178" s="19"/>
      <c r="CQ178" s="19"/>
      <c r="CR178" s="19"/>
      <c r="CS178" s="19"/>
      <c r="CT178" s="19"/>
      <c r="CU178" s="20"/>
      <c r="CV178" s="20"/>
      <c r="DA178" s="18">
        <f t="shared" si="40"/>
        <v>0</v>
      </c>
      <c r="DB178" s="19">
        <f t="shared" si="41"/>
        <v>0</v>
      </c>
      <c r="DC178" s="19">
        <f t="shared" si="42"/>
        <v>0</v>
      </c>
      <c r="DD178" s="19">
        <f t="shared" si="43"/>
        <v>0</v>
      </c>
      <c r="DE178" s="19">
        <f t="shared" si="44"/>
        <v>0</v>
      </c>
      <c r="DF178" s="19">
        <f t="shared" si="45"/>
        <v>0</v>
      </c>
      <c r="DG178" s="19">
        <f t="shared" si="46"/>
        <v>0</v>
      </c>
      <c r="DH178" s="20">
        <f t="shared" si="47"/>
        <v>0</v>
      </c>
      <c r="DI178" s="20">
        <f t="shared" si="48"/>
        <v>0</v>
      </c>
      <c r="DJ178" s="2"/>
    </row>
    <row r="179" spans="80:114" x14ac:dyDescent="0.3">
      <c r="CB179" s="18"/>
      <c r="CC179" s="19"/>
      <c r="CD179" s="19"/>
      <c r="CE179" s="19"/>
      <c r="CF179" s="19"/>
      <c r="CG179" s="19"/>
      <c r="CH179" s="19"/>
      <c r="CI179" s="20"/>
      <c r="CJ179" s="20"/>
      <c r="CN179" s="18"/>
      <c r="CO179" s="19"/>
      <c r="CP179" s="19"/>
      <c r="CQ179" s="19"/>
      <c r="CR179" s="19"/>
      <c r="CS179" s="19"/>
      <c r="CT179" s="19"/>
      <c r="CU179" s="20"/>
      <c r="CV179" s="20"/>
      <c r="DA179" s="18">
        <f t="shared" si="40"/>
        <v>0</v>
      </c>
      <c r="DB179" s="19">
        <f t="shared" si="41"/>
        <v>0</v>
      </c>
      <c r="DC179" s="19">
        <f t="shared" si="42"/>
        <v>0</v>
      </c>
      <c r="DD179" s="19">
        <f t="shared" si="43"/>
        <v>0</v>
      </c>
      <c r="DE179" s="19">
        <f t="shared" si="44"/>
        <v>0</v>
      </c>
      <c r="DF179" s="19">
        <f t="shared" si="45"/>
        <v>0</v>
      </c>
      <c r="DG179" s="19">
        <f t="shared" si="46"/>
        <v>0</v>
      </c>
      <c r="DH179" s="20">
        <f t="shared" si="47"/>
        <v>0</v>
      </c>
      <c r="DI179" s="20">
        <f t="shared" si="48"/>
        <v>0</v>
      </c>
      <c r="DJ179" s="2"/>
    </row>
    <row r="180" spans="80:114" x14ac:dyDescent="0.3">
      <c r="CB180" s="18"/>
      <c r="CC180" s="19"/>
      <c r="CD180" s="19"/>
      <c r="CE180" s="19"/>
      <c r="CF180" s="19"/>
      <c r="CG180" s="19"/>
      <c r="CH180" s="19"/>
      <c r="CI180" s="20"/>
      <c r="CJ180" s="20"/>
      <c r="CN180" s="18"/>
      <c r="CO180" s="19"/>
      <c r="CP180" s="19"/>
      <c r="CQ180" s="19"/>
      <c r="CR180" s="19"/>
      <c r="CS180" s="19"/>
      <c r="CT180" s="19"/>
      <c r="CU180" s="20"/>
      <c r="CV180" s="20"/>
      <c r="DA180" s="18">
        <f t="shared" si="40"/>
        <v>0</v>
      </c>
      <c r="DB180" s="19">
        <f t="shared" si="41"/>
        <v>0</v>
      </c>
      <c r="DC180" s="19">
        <f t="shared" si="42"/>
        <v>0</v>
      </c>
      <c r="DD180" s="19">
        <f t="shared" si="43"/>
        <v>0</v>
      </c>
      <c r="DE180" s="19">
        <f t="shared" si="44"/>
        <v>0</v>
      </c>
      <c r="DF180" s="19">
        <f t="shared" si="45"/>
        <v>0</v>
      </c>
      <c r="DG180" s="19">
        <f t="shared" si="46"/>
        <v>0</v>
      </c>
      <c r="DH180" s="20">
        <f t="shared" si="47"/>
        <v>0</v>
      </c>
      <c r="DI180" s="20">
        <f t="shared" si="48"/>
        <v>0</v>
      </c>
      <c r="DJ180" s="2"/>
    </row>
    <row r="181" spans="80:114" x14ac:dyDescent="0.3">
      <c r="CB181" s="18"/>
      <c r="CC181" s="19"/>
      <c r="CD181" s="19"/>
      <c r="CE181" s="19"/>
      <c r="CF181" s="19"/>
      <c r="CG181" s="19"/>
      <c r="CH181" s="19"/>
      <c r="CI181" s="20"/>
      <c r="CJ181" s="20"/>
      <c r="CN181" s="18"/>
      <c r="CO181" s="19"/>
      <c r="CP181" s="19"/>
      <c r="CQ181" s="19"/>
      <c r="CR181" s="19"/>
      <c r="CS181" s="19"/>
      <c r="CT181" s="19"/>
      <c r="CU181" s="20"/>
      <c r="CV181" s="20"/>
      <c r="DA181" s="18">
        <f t="shared" si="40"/>
        <v>0</v>
      </c>
      <c r="DB181" s="19">
        <f t="shared" si="41"/>
        <v>0</v>
      </c>
      <c r="DC181" s="19">
        <f t="shared" si="42"/>
        <v>0</v>
      </c>
      <c r="DD181" s="19">
        <f t="shared" si="43"/>
        <v>0</v>
      </c>
      <c r="DE181" s="19">
        <f t="shared" si="44"/>
        <v>0</v>
      </c>
      <c r="DF181" s="19">
        <f t="shared" si="45"/>
        <v>0</v>
      </c>
      <c r="DG181" s="19">
        <f t="shared" si="46"/>
        <v>0</v>
      </c>
      <c r="DH181" s="20">
        <f t="shared" si="47"/>
        <v>0</v>
      </c>
      <c r="DI181" s="20">
        <f t="shared" si="48"/>
        <v>0</v>
      </c>
      <c r="DJ181" s="2"/>
    </row>
    <row r="182" spans="80:114" x14ac:dyDescent="0.3">
      <c r="CB182" s="18"/>
      <c r="CC182" s="19"/>
      <c r="CD182" s="19"/>
      <c r="CE182" s="19"/>
      <c r="CF182" s="19"/>
      <c r="CG182" s="19"/>
      <c r="CH182" s="19"/>
      <c r="CI182" s="20"/>
      <c r="CJ182" s="20"/>
      <c r="CN182" s="18"/>
      <c r="CO182" s="19"/>
      <c r="CP182" s="19"/>
      <c r="CQ182" s="19"/>
      <c r="CR182" s="19"/>
      <c r="CS182" s="19"/>
      <c r="CT182" s="19"/>
      <c r="CU182" s="20"/>
      <c r="CV182" s="20"/>
      <c r="DA182" s="18">
        <f t="shared" si="40"/>
        <v>0</v>
      </c>
      <c r="DB182" s="19">
        <f t="shared" si="41"/>
        <v>0</v>
      </c>
      <c r="DC182" s="19">
        <f t="shared" si="42"/>
        <v>0</v>
      </c>
      <c r="DD182" s="19">
        <f t="shared" si="43"/>
        <v>0</v>
      </c>
      <c r="DE182" s="19">
        <f t="shared" si="44"/>
        <v>0</v>
      </c>
      <c r="DF182" s="19">
        <f t="shared" si="45"/>
        <v>0</v>
      </c>
      <c r="DG182" s="19">
        <f t="shared" si="46"/>
        <v>0</v>
      </c>
      <c r="DH182" s="20">
        <f t="shared" si="47"/>
        <v>0</v>
      </c>
      <c r="DI182" s="20">
        <f t="shared" si="48"/>
        <v>0</v>
      </c>
      <c r="DJ182" s="2"/>
    </row>
    <row r="183" spans="80:114" x14ac:dyDescent="0.3">
      <c r="CB183" s="18"/>
      <c r="CC183" s="19"/>
      <c r="CD183" s="19"/>
      <c r="CE183" s="19"/>
      <c r="CF183" s="19"/>
      <c r="CG183" s="19"/>
      <c r="CH183" s="19"/>
      <c r="CI183" s="20"/>
      <c r="CJ183" s="20"/>
      <c r="CN183" s="18"/>
      <c r="CO183" s="19"/>
      <c r="CP183" s="19"/>
      <c r="CQ183" s="19"/>
      <c r="CR183" s="19"/>
      <c r="CS183" s="19"/>
      <c r="CT183" s="19"/>
      <c r="CU183" s="20"/>
      <c r="CV183" s="20"/>
      <c r="DA183" s="18">
        <f t="shared" si="40"/>
        <v>0</v>
      </c>
      <c r="DB183" s="19">
        <f t="shared" si="41"/>
        <v>0</v>
      </c>
      <c r="DC183" s="19">
        <f t="shared" si="42"/>
        <v>0</v>
      </c>
      <c r="DD183" s="19">
        <f t="shared" si="43"/>
        <v>0</v>
      </c>
      <c r="DE183" s="19">
        <f t="shared" si="44"/>
        <v>0</v>
      </c>
      <c r="DF183" s="19">
        <f t="shared" si="45"/>
        <v>0</v>
      </c>
      <c r="DG183" s="19">
        <f t="shared" si="46"/>
        <v>0</v>
      </c>
      <c r="DH183" s="20">
        <f t="shared" si="47"/>
        <v>0</v>
      </c>
      <c r="DI183" s="20">
        <f t="shared" si="48"/>
        <v>0</v>
      </c>
      <c r="DJ183" s="2"/>
    </row>
    <row r="184" spans="80:114" x14ac:dyDescent="0.3">
      <c r="CB184" s="18"/>
      <c r="CC184" s="19"/>
      <c r="CD184" s="19"/>
      <c r="CE184" s="19"/>
      <c r="CF184" s="19"/>
      <c r="CG184" s="19"/>
      <c r="CH184" s="19"/>
      <c r="CI184" s="20"/>
      <c r="CJ184" s="20"/>
      <c r="CN184" s="18"/>
      <c r="CO184" s="19"/>
      <c r="CP184" s="19"/>
      <c r="CQ184" s="19"/>
      <c r="CR184" s="19"/>
      <c r="CS184" s="19"/>
      <c r="CT184" s="19"/>
      <c r="CU184" s="20"/>
      <c r="CV184" s="20"/>
      <c r="DA184" s="18">
        <f t="shared" si="40"/>
        <v>0</v>
      </c>
      <c r="DB184" s="19">
        <f t="shared" si="41"/>
        <v>0</v>
      </c>
      <c r="DC184" s="19">
        <f t="shared" si="42"/>
        <v>0</v>
      </c>
      <c r="DD184" s="19">
        <f t="shared" si="43"/>
        <v>0</v>
      </c>
      <c r="DE184" s="19">
        <f t="shared" si="44"/>
        <v>0</v>
      </c>
      <c r="DF184" s="19">
        <f t="shared" si="45"/>
        <v>0</v>
      </c>
      <c r="DG184" s="19">
        <f t="shared" si="46"/>
        <v>0</v>
      </c>
      <c r="DH184" s="20">
        <f t="shared" si="47"/>
        <v>0</v>
      </c>
      <c r="DI184" s="20">
        <f t="shared" si="48"/>
        <v>0</v>
      </c>
      <c r="DJ184" s="2"/>
    </row>
    <row r="185" spans="80:114" x14ac:dyDescent="0.3">
      <c r="CB185" s="18"/>
      <c r="CC185" s="19"/>
      <c r="CD185" s="19"/>
      <c r="CE185" s="19"/>
      <c r="CF185" s="19"/>
      <c r="CG185" s="19"/>
      <c r="CH185" s="19"/>
      <c r="CI185" s="20"/>
      <c r="CJ185" s="20"/>
      <c r="CN185" s="18"/>
      <c r="CO185" s="19"/>
      <c r="CP185" s="19"/>
      <c r="CQ185" s="19"/>
      <c r="CR185" s="19"/>
      <c r="CS185" s="19"/>
      <c r="CT185" s="19"/>
      <c r="CU185" s="20"/>
      <c r="CV185" s="20"/>
      <c r="DA185" s="18">
        <f t="shared" si="40"/>
        <v>0</v>
      </c>
      <c r="DB185" s="19">
        <f t="shared" si="41"/>
        <v>0</v>
      </c>
      <c r="DC185" s="19">
        <f t="shared" si="42"/>
        <v>0</v>
      </c>
      <c r="DD185" s="19">
        <f t="shared" si="43"/>
        <v>0</v>
      </c>
      <c r="DE185" s="19">
        <f t="shared" si="44"/>
        <v>0</v>
      </c>
      <c r="DF185" s="19">
        <f t="shared" si="45"/>
        <v>0</v>
      </c>
      <c r="DG185" s="19">
        <f t="shared" si="46"/>
        <v>0</v>
      </c>
      <c r="DH185" s="20">
        <f t="shared" si="47"/>
        <v>0</v>
      </c>
      <c r="DI185" s="20">
        <f t="shared" si="48"/>
        <v>0</v>
      </c>
      <c r="DJ185" s="2"/>
    </row>
    <row r="186" spans="80:114" x14ac:dyDescent="0.3">
      <c r="CB186" s="18"/>
      <c r="CC186" s="19"/>
      <c r="CD186" s="19"/>
      <c r="CE186" s="19"/>
      <c r="CF186" s="19"/>
      <c r="CG186" s="19"/>
      <c r="CH186" s="19"/>
      <c r="CI186" s="20"/>
      <c r="CJ186" s="20"/>
      <c r="CN186" s="18"/>
      <c r="CO186" s="19"/>
      <c r="CP186" s="19"/>
      <c r="CQ186" s="19"/>
      <c r="CR186" s="19"/>
      <c r="CS186" s="19"/>
      <c r="CT186" s="19"/>
      <c r="CU186" s="20"/>
      <c r="CV186" s="20"/>
      <c r="DA186" s="18">
        <f t="shared" si="40"/>
        <v>0</v>
      </c>
      <c r="DB186" s="19">
        <f t="shared" si="41"/>
        <v>0</v>
      </c>
      <c r="DC186" s="19">
        <f t="shared" si="42"/>
        <v>0</v>
      </c>
      <c r="DD186" s="19">
        <f t="shared" si="43"/>
        <v>0</v>
      </c>
      <c r="DE186" s="19">
        <f t="shared" si="44"/>
        <v>0</v>
      </c>
      <c r="DF186" s="19">
        <f t="shared" si="45"/>
        <v>0</v>
      </c>
      <c r="DG186" s="19">
        <f t="shared" si="46"/>
        <v>0</v>
      </c>
      <c r="DH186" s="20">
        <f t="shared" si="47"/>
        <v>0</v>
      </c>
      <c r="DI186" s="20">
        <f t="shared" si="48"/>
        <v>0</v>
      </c>
      <c r="DJ186" s="2"/>
    </row>
    <row r="187" spans="80:114" x14ac:dyDescent="0.3">
      <c r="CB187" s="18"/>
      <c r="CC187" s="19"/>
      <c r="CD187" s="19"/>
      <c r="CE187" s="19"/>
      <c r="CF187" s="19"/>
      <c r="CG187" s="19"/>
      <c r="CH187" s="19"/>
      <c r="CI187" s="20"/>
      <c r="CJ187" s="20"/>
      <c r="CN187" s="18"/>
      <c r="CO187" s="19"/>
      <c r="CP187" s="19"/>
      <c r="CQ187" s="19"/>
      <c r="CR187" s="19"/>
      <c r="CS187" s="19"/>
      <c r="CT187" s="19"/>
      <c r="CU187" s="20"/>
      <c r="CV187" s="20"/>
      <c r="DA187" s="18">
        <f t="shared" si="40"/>
        <v>0</v>
      </c>
      <c r="DB187" s="19">
        <f t="shared" si="41"/>
        <v>0</v>
      </c>
      <c r="DC187" s="19">
        <f t="shared" si="42"/>
        <v>0</v>
      </c>
      <c r="DD187" s="19">
        <f t="shared" si="43"/>
        <v>0</v>
      </c>
      <c r="DE187" s="19">
        <f t="shared" si="44"/>
        <v>0</v>
      </c>
      <c r="DF187" s="19">
        <f t="shared" si="45"/>
        <v>0</v>
      </c>
      <c r="DG187" s="19">
        <f t="shared" si="46"/>
        <v>0</v>
      </c>
      <c r="DH187" s="20">
        <f t="shared" si="47"/>
        <v>0</v>
      </c>
      <c r="DI187" s="20">
        <f t="shared" si="48"/>
        <v>0</v>
      </c>
      <c r="DJ187" s="2"/>
    </row>
    <row r="188" spans="80:114" x14ac:dyDescent="0.3">
      <c r="CB188" s="18"/>
      <c r="CC188" s="19"/>
      <c r="CD188" s="19"/>
      <c r="CE188" s="19"/>
      <c r="CF188" s="19"/>
      <c r="CG188" s="19"/>
      <c r="CH188" s="19"/>
      <c r="CI188" s="20"/>
      <c r="CJ188" s="20"/>
      <c r="CN188" s="18"/>
      <c r="CO188" s="19"/>
      <c r="CP188" s="19"/>
      <c r="CQ188" s="19"/>
      <c r="CR188" s="19"/>
      <c r="CS188" s="19"/>
      <c r="CT188" s="19"/>
      <c r="CU188" s="20"/>
      <c r="CV188" s="20"/>
      <c r="DA188" s="18">
        <f t="shared" si="40"/>
        <v>0</v>
      </c>
      <c r="DB188" s="19">
        <f t="shared" si="41"/>
        <v>0</v>
      </c>
      <c r="DC188" s="19">
        <f t="shared" si="42"/>
        <v>0</v>
      </c>
      <c r="DD188" s="19">
        <f t="shared" si="43"/>
        <v>0</v>
      </c>
      <c r="DE188" s="19">
        <f t="shared" si="44"/>
        <v>0</v>
      </c>
      <c r="DF188" s="19">
        <f t="shared" si="45"/>
        <v>0</v>
      </c>
      <c r="DG188" s="19">
        <f t="shared" si="46"/>
        <v>0</v>
      </c>
      <c r="DH188" s="20">
        <f t="shared" si="47"/>
        <v>0</v>
      </c>
      <c r="DI188" s="20">
        <f t="shared" si="48"/>
        <v>0</v>
      </c>
      <c r="DJ188" s="2"/>
    </row>
    <row r="189" spans="80:114" x14ac:dyDescent="0.3">
      <c r="CB189" s="18"/>
      <c r="CC189" s="19"/>
      <c r="CD189" s="19"/>
      <c r="CE189" s="19"/>
      <c r="CF189" s="19"/>
      <c r="CG189" s="19"/>
      <c r="CH189" s="19"/>
      <c r="CI189" s="20"/>
      <c r="CJ189" s="20"/>
      <c r="CN189" s="18"/>
      <c r="CO189" s="19"/>
      <c r="CP189" s="19"/>
      <c r="CQ189" s="19"/>
      <c r="CR189" s="19"/>
      <c r="CS189" s="19"/>
      <c r="CT189" s="19"/>
      <c r="CU189" s="20"/>
      <c r="CV189" s="20"/>
      <c r="DA189" s="18">
        <f t="shared" si="40"/>
        <v>0</v>
      </c>
      <c r="DB189" s="19">
        <f t="shared" si="41"/>
        <v>0</v>
      </c>
      <c r="DC189" s="19">
        <f t="shared" si="42"/>
        <v>0</v>
      </c>
      <c r="DD189" s="19">
        <f t="shared" si="43"/>
        <v>0</v>
      </c>
      <c r="DE189" s="19">
        <f t="shared" si="44"/>
        <v>0</v>
      </c>
      <c r="DF189" s="19">
        <f t="shared" si="45"/>
        <v>0</v>
      </c>
      <c r="DG189" s="19">
        <f t="shared" si="46"/>
        <v>0</v>
      </c>
      <c r="DH189" s="20">
        <f t="shared" si="47"/>
        <v>0</v>
      </c>
      <c r="DI189" s="20">
        <f t="shared" si="48"/>
        <v>0</v>
      </c>
      <c r="DJ189" s="2"/>
    </row>
    <row r="190" spans="80:114" x14ac:dyDescent="0.3">
      <c r="CB190" s="18"/>
      <c r="CC190" s="19"/>
      <c r="CD190" s="19"/>
      <c r="CE190" s="19"/>
      <c r="CF190" s="19"/>
      <c r="CG190" s="19"/>
      <c r="CH190" s="19"/>
      <c r="CI190" s="20"/>
      <c r="CJ190" s="20"/>
      <c r="CN190" s="18"/>
      <c r="CO190" s="19"/>
      <c r="CP190" s="19"/>
      <c r="CQ190" s="19"/>
      <c r="CR190" s="19"/>
      <c r="CS190" s="19"/>
      <c r="CT190" s="19"/>
      <c r="CU190" s="20"/>
      <c r="CV190" s="20"/>
      <c r="DA190" s="18">
        <f t="shared" si="40"/>
        <v>0</v>
      </c>
      <c r="DB190" s="19">
        <f t="shared" si="41"/>
        <v>0</v>
      </c>
      <c r="DC190" s="19">
        <f t="shared" si="42"/>
        <v>0</v>
      </c>
      <c r="DD190" s="19">
        <f t="shared" si="43"/>
        <v>0</v>
      </c>
      <c r="DE190" s="19">
        <f t="shared" si="44"/>
        <v>0</v>
      </c>
      <c r="DF190" s="19">
        <f t="shared" si="45"/>
        <v>0</v>
      </c>
      <c r="DG190" s="19">
        <f t="shared" si="46"/>
        <v>0</v>
      </c>
      <c r="DH190" s="20">
        <f t="shared" si="47"/>
        <v>0</v>
      </c>
      <c r="DI190" s="20">
        <f t="shared" si="48"/>
        <v>0</v>
      </c>
      <c r="DJ190" s="2"/>
    </row>
    <row r="191" spans="80:114" x14ac:dyDescent="0.3">
      <c r="CB191" s="18"/>
      <c r="CC191" s="19"/>
      <c r="CD191" s="19"/>
      <c r="CE191" s="19"/>
      <c r="CF191" s="19"/>
      <c r="CG191" s="19"/>
      <c r="CH191" s="19"/>
      <c r="CI191" s="20"/>
      <c r="CJ191" s="20"/>
      <c r="CN191" s="18"/>
      <c r="CO191" s="19"/>
      <c r="CP191" s="19"/>
      <c r="CQ191" s="19"/>
      <c r="CR191" s="19"/>
      <c r="CS191" s="19"/>
      <c r="CT191" s="19"/>
      <c r="CU191" s="20"/>
      <c r="CV191" s="20"/>
      <c r="DA191" s="18">
        <f t="shared" si="40"/>
        <v>0</v>
      </c>
      <c r="DB191" s="19">
        <f t="shared" si="41"/>
        <v>0</v>
      </c>
      <c r="DC191" s="19">
        <f t="shared" si="42"/>
        <v>0</v>
      </c>
      <c r="DD191" s="19">
        <f t="shared" si="43"/>
        <v>0</v>
      </c>
      <c r="DE191" s="19">
        <f t="shared" si="44"/>
        <v>0</v>
      </c>
      <c r="DF191" s="19">
        <f t="shared" si="45"/>
        <v>0</v>
      </c>
      <c r="DG191" s="19">
        <f t="shared" si="46"/>
        <v>0</v>
      </c>
      <c r="DH191" s="20">
        <f t="shared" si="47"/>
        <v>0</v>
      </c>
      <c r="DI191" s="20">
        <f t="shared" si="48"/>
        <v>0</v>
      </c>
      <c r="DJ191" s="2"/>
    </row>
    <row r="192" spans="80:114" x14ac:dyDescent="0.3">
      <c r="CB192" s="18"/>
      <c r="CC192" s="19"/>
      <c r="CD192" s="19"/>
      <c r="CE192" s="19"/>
      <c r="CF192" s="19"/>
      <c r="CG192" s="19"/>
      <c r="CH192" s="19"/>
      <c r="CI192" s="20"/>
      <c r="CJ192" s="20"/>
      <c r="CN192" s="18"/>
      <c r="CO192" s="19"/>
      <c r="CP192" s="19"/>
      <c r="CQ192" s="19"/>
      <c r="CR192" s="19"/>
      <c r="CS192" s="19"/>
      <c r="CT192" s="19"/>
      <c r="CU192" s="20"/>
      <c r="CV192" s="20"/>
      <c r="DA192" s="18">
        <f t="shared" si="40"/>
        <v>0</v>
      </c>
      <c r="DB192" s="19">
        <f t="shared" si="41"/>
        <v>0</v>
      </c>
      <c r="DC192" s="19">
        <f t="shared" si="42"/>
        <v>0</v>
      </c>
      <c r="DD192" s="19">
        <f t="shared" si="43"/>
        <v>0</v>
      </c>
      <c r="DE192" s="19">
        <f t="shared" si="44"/>
        <v>0</v>
      </c>
      <c r="DF192" s="19">
        <f t="shared" si="45"/>
        <v>0</v>
      </c>
      <c r="DG192" s="19">
        <f t="shared" si="46"/>
        <v>0</v>
      </c>
      <c r="DH192" s="20">
        <f t="shared" si="47"/>
        <v>0</v>
      </c>
      <c r="DI192" s="20">
        <f t="shared" si="48"/>
        <v>0</v>
      </c>
      <c r="DJ192" s="2"/>
    </row>
    <row r="193" spans="80:114" x14ac:dyDescent="0.3">
      <c r="CB193" s="18"/>
      <c r="CC193" s="19"/>
      <c r="CD193" s="19"/>
      <c r="CE193" s="19"/>
      <c r="CF193" s="19"/>
      <c r="CG193" s="19"/>
      <c r="CH193" s="19"/>
      <c r="CI193" s="20"/>
      <c r="CJ193" s="20"/>
      <c r="CN193" s="18"/>
      <c r="CO193" s="19"/>
      <c r="CP193" s="19"/>
      <c r="CQ193" s="19"/>
      <c r="CR193" s="19"/>
      <c r="CS193" s="19"/>
      <c r="CT193" s="19"/>
      <c r="CU193" s="20"/>
      <c r="CV193" s="20"/>
      <c r="DA193" s="18">
        <f t="shared" si="40"/>
        <v>0</v>
      </c>
      <c r="DB193" s="19">
        <f t="shared" si="41"/>
        <v>0</v>
      </c>
      <c r="DC193" s="19">
        <f t="shared" si="42"/>
        <v>0</v>
      </c>
      <c r="DD193" s="19">
        <f t="shared" si="43"/>
        <v>0</v>
      </c>
      <c r="DE193" s="19">
        <f t="shared" si="44"/>
        <v>0</v>
      </c>
      <c r="DF193" s="19">
        <f t="shared" si="45"/>
        <v>0</v>
      </c>
      <c r="DG193" s="19">
        <f t="shared" si="46"/>
        <v>0</v>
      </c>
      <c r="DH193" s="20">
        <f t="shared" si="47"/>
        <v>0</v>
      </c>
      <c r="DI193" s="20">
        <f t="shared" si="48"/>
        <v>0</v>
      </c>
      <c r="DJ193" s="2"/>
    </row>
    <row r="194" spans="80:114" x14ac:dyDescent="0.3">
      <c r="CB194" s="18"/>
      <c r="CC194" s="19"/>
      <c r="CD194" s="19"/>
      <c r="CE194" s="19"/>
      <c r="CF194" s="19"/>
      <c r="CG194" s="19"/>
      <c r="CH194" s="19"/>
      <c r="CI194" s="20"/>
      <c r="CJ194" s="20"/>
      <c r="CN194" s="18"/>
      <c r="CO194" s="19"/>
      <c r="CP194" s="19"/>
      <c r="CQ194" s="19"/>
      <c r="CR194" s="19"/>
      <c r="CS194" s="19"/>
      <c r="CT194" s="19"/>
      <c r="CU194" s="20"/>
      <c r="CV194" s="20"/>
      <c r="DA194" s="18">
        <f t="shared" si="40"/>
        <v>0</v>
      </c>
      <c r="DB194" s="19">
        <f t="shared" si="41"/>
        <v>0</v>
      </c>
      <c r="DC194" s="19">
        <f t="shared" si="42"/>
        <v>0</v>
      </c>
      <c r="DD194" s="19">
        <f t="shared" si="43"/>
        <v>0</v>
      </c>
      <c r="DE194" s="19">
        <f t="shared" si="44"/>
        <v>0</v>
      </c>
      <c r="DF194" s="19">
        <f t="shared" si="45"/>
        <v>0</v>
      </c>
      <c r="DG194" s="19">
        <f t="shared" si="46"/>
        <v>0</v>
      </c>
      <c r="DH194" s="20">
        <f t="shared" si="47"/>
        <v>0</v>
      </c>
      <c r="DI194" s="20">
        <f t="shared" si="48"/>
        <v>0</v>
      </c>
      <c r="DJ194" s="2"/>
    </row>
    <row r="195" spans="80:114" x14ac:dyDescent="0.3">
      <c r="CB195" s="18"/>
      <c r="CC195" s="19"/>
      <c r="CD195" s="19"/>
      <c r="CE195" s="19"/>
      <c r="CF195" s="19"/>
      <c r="CG195" s="19"/>
      <c r="CH195" s="19"/>
      <c r="CI195" s="20"/>
      <c r="CJ195" s="20"/>
      <c r="CN195" s="18"/>
      <c r="CO195" s="19"/>
      <c r="CP195" s="19"/>
      <c r="CQ195" s="19"/>
      <c r="CR195" s="19"/>
      <c r="CS195" s="19"/>
      <c r="CT195" s="19"/>
      <c r="CU195" s="20"/>
      <c r="CV195" s="20"/>
      <c r="DA195" s="18">
        <f t="shared" ref="DA195:DA258" si="49">IF($BZ$2=1,CN195,CB195)</f>
        <v>0</v>
      </c>
      <c r="DB195" s="19">
        <f t="shared" ref="DB195:DB258" si="50">IF($BZ$2=1,CO195,CC195)</f>
        <v>0</v>
      </c>
      <c r="DC195" s="19">
        <f t="shared" ref="DC195:DC258" si="51">IF($BZ$2=1,CP195,CD195)</f>
        <v>0</v>
      </c>
      <c r="DD195" s="19">
        <f t="shared" ref="DD195:DD258" si="52">IF($BZ$2=1,CQ195,CE195)</f>
        <v>0</v>
      </c>
      <c r="DE195" s="19">
        <f t="shared" ref="DE195:DE258" si="53">IF($BZ$2=1,CR195,CF195)</f>
        <v>0</v>
      </c>
      <c r="DF195" s="19">
        <f t="shared" ref="DF195:DF258" si="54">IF($BZ$2=1,CS195,CG195)</f>
        <v>0</v>
      </c>
      <c r="DG195" s="19">
        <f t="shared" ref="DG195:DG258" si="55">IF($BZ$2=1,CT195,CH195)</f>
        <v>0</v>
      </c>
      <c r="DH195" s="20">
        <f t="shared" ref="DH195:DH258" si="56">IF($BZ$2=1,CU195,CI195)</f>
        <v>0</v>
      </c>
      <c r="DI195" s="20">
        <f t="shared" ref="DI195:DI258" si="57">IF($BZ$2=1,CV195,CJ195)</f>
        <v>0</v>
      </c>
      <c r="DJ195" s="2"/>
    </row>
    <row r="196" spans="80:114" x14ac:dyDescent="0.3">
      <c r="CB196" s="18"/>
      <c r="CC196" s="19"/>
      <c r="CD196" s="19"/>
      <c r="CE196" s="19"/>
      <c r="CF196" s="19"/>
      <c r="CG196" s="19"/>
      <c r="CH196" s="19"/>
      <c r="CI196" s="20"/>
      <c r="CJ196" s="20"/>
      <c r="CN196" s="18"/>
      <c r="CO196" s="19"/>
      <c r="CP196" s="19"/>
      <c r="CQ196" s="19"/>
      <c r="CR196" s="19"/>
      <c r="CS196" s="19"/>
      <c r="CT196" s="19"/>
      <c r="CU196" s="20"/>
      <c r="CV196" s="20"/>
      <c r="DA196" s="18">
        <f t="shared" si="49"/>
        <v>0</v>
      </c>
      <c r="DB196" s="19">
        <f t="shared" si="50"/>
        <v>0</v>
      </c>
      <c r="DC196" s="19">
        <f t="shared" si="51"/>
        <v>0</v>
      </c>
      <c r="DD196" s="19">
        <f t="shared" si="52"/>
        <v>0</v>
      </c>
      <c r="DE196" s="19">
        <f t="shared" si="53"/>
        <v>0</v>
      </c>
      <c r="DF196" s="19">
        <f t="shared" si="54"/>
        <v>0</v>
      </c>
      <c r="DG196" s="19">
        <f t="shared" si="55"/>
        <v>0</v>
      </c>
      <c r="DH196" s="20">
        <f t="shared" si="56"/>
        <v>0</v>
      </c>
      <c r="DI196" s="20">
        <f t="shared" si="57"/>
        <v>0</v>
      </c>
      <c r="DJ196" s="2"/>
    </row>
    <row r="197" spans="80:114" x14ac:dyDescent="0.3">
      <c r="CB197" s="18"/>
      <c r="CC197" s="19"/>
      <c r="CD197" s="19"/>
      <c r="CE197" s="19"/>
      <c r="CF197" s="19"/>
      <c r="CG197" s="19"/>
      <c r="CH197" s="19"/>
      <c r="CI197" s="20"/>
      <c r="CJ197" s="20"/>
      <c r="CN197" s="18"/>
      <c r="CO197" s="19"/>
      <c r="CP197" s="19"/>
      <c r="CQ197" s="19"/>
      <c r="CR197" s="19"/>
      <c r="CS197" s="19"/>
      <c r="CT197" s="19"/>
      <c r="CU197" s="20"/>
      <c r="CV197" s="20"/>
      <c r="DA197" s="18">
        <f t="shared" si="49"/>
        <v>0</v>
      </c>
      <c r="DB197" s="19">
        <f t="shared" si="50"/>
        <v>0</v>
      </c>
      <c r="DC197" s="19">
        <f t="shared" si="51"/>
        <v>0</v>
      </c>
      <c r="DD197" s="19">
        <f t="shared" si="52"/>
        <v>0</v>
      </c>
      <c r="DE197" s="19">
        <f t="shared" si="53"/>
        <v>0</v>
      </c>
      <c r="DF197" s="19">
        <f t="shared" si="54"/>
        <v>0</v>
      </c>
      <c r="DG197" s="19">
        <f t="shared" si="55"/>
        <v>0</v>
      </c>
      <c r="DH197" s="20">
        <f t="shared" si="56"/>
        <v>0</v>
      </c>
      <c r="DI197" s="20">
        <f t="shared" si="57"/>
        <v>0</v>
      </c>
      <c r="DJ197" s="2"/>
    </row>
    <row r="198" spans="80:114" x14ac:dyDescent="0.3">
      <c r="CB198" s="18"/>
      <c r="CC198" s="19"/>
      <c r="CD198" s="19"/>
      <c r="CE198" s="19"/>
      <c r="CF198" s="19"/>
      <c r="CG198" s="19"/>
      <c r="CH198" s="19"/>
      <c r="CI198" s="20"/>
      <c r="CJ198" s="20"/>
      <c r="CN198" s="18"/>
      <c r="CO198" s="19"/>
      <c r="CP198" s="19"/>
      <c r="CQ198" s="19"/>
      <c r="CR198" s="19"/>
      <c r="CS198" s="19"/>
      <c r="CT198" s="19"/>
      <c r="CU198" s="20"/>
      <c r="CV198" s="20"/>
      <c r="DA198" s="18">
        <f t="shared" si="49"/>
        <v>0</v>
      </c>
      <c r="DB198" s="19">
        <f t="shared" si="50"/>
        <v>0</v>
      </c>
      <c r="DC198" s="19">
        <f t="shared" si="51"/>
        <v>0</v>
      </c>
      <c r="DD198" s="19">
        <f t="shared" si="52"/>
        <v>0</v>
      </c>
      <c r="DE198" s="19">
        <f t="shared" si="53"/>
        <v>0</v>
      </c>
      <c r="DF198" s="19">
        <f t="shared" si="54"/>
        <v>0</v>
      </c>
      <c r="DG198" s="19">
        <f t="shared" si="55"/>
        <v>0</v>
      </c>
      <c r="DH198" s="20">
        <f t="shared" si="56"/>
        <v>0</v>
      </c>
      <c r="DI198" s="20">
        <f t="shared" si="57"/>
        <v>0</v>
      </c>
      <c r="DJ198" s="2"/>
    </row>
    <row r="199" spans="80:114" x14ac:dyDescent="0.3">
      <c r="CB199" s="18"/>
      <c r="CC199" s="19"/>
      <c r="CD199" s="19"/>
      <c r="CE199" s="19"/>
      <c r="CF199" s="19"/>
      <c r="CG199" s="19"/>
      <c r="CH199" s="19"/>
      <c r="CI199" s="20"/>
      <c r="CJ199" s="20"/>
      <c r="CN199" s="18"/>
      <c r="CO199" s="19"/>
      <c r="CP199" s="19"/>
      <c r="CQ199" s="19"/>
      <c r="CR199" s="19"/>
      <c r="CS199" s="19"/>
      <c r="CT199" s="19"/>
      <c r="CU199" s="20"/>
      <c r="CV199" s="20"/>
      <c r="DA199" s="18">
        <f t="shared" si="49"/>
        <v>0</v>
      </c>
      <c r="DB199" s="19">
        <f t="shared" si="50"/>
        <v>0</v>
      </c>
      <c r="DC199" s="19">
        <f t="shared" si="51"/>
        <v>0</v>
      </c>
      <c r="DD199" s="19">
        <f t="shared" si="52"/>
        <v>0</v>
      </c>
      <c r="DE199" s="19">
        <f t="shared" si="53"/>
        <v>0</v>
      </c>
      <c r="DF199" s="19">
        <f t="shared" si="54"/>
        <v>0</v>
      </c>
      <c r="DG199" s="19">
        <f t="shared" si="55"/>
        <v>0</v>
      </c>
      <c r="DH199" s="20">
        <f t="shared" si="56"/>
        <v>0</v>
      </c>
      <c r="DI199" s="20">
        <f t="shared" si="57"/>
        <v>0</v>
      </c>
      <c r="DJ199" s="2"/>
    </row>
    <row r="200" spans="80:114" x14ac:dyDescent="0.3">
      <c r="CB200" s="18"/>
      <c r="CC200" s="19"/>
      <c r="CD200" s="19"/>
      <c r="CE200" s="19"/>
      <c r="CF200" s="19"/>
      <c r="CG200" s="19"/>
      <c r="CH200" s="19"/>
      <c r="CI200" s="20"/>
      <c r="CJ200" s="20"/>
      <c r="CN200" s="18"/>
      <c r="CO200" s="19"/>
      <c r="CP200" s="19"/>
      <c r="CQ200" s="19"/>
      <c r="CR200" s="19"/>
      <c r="CS200" s="19"/>
      <c r="CT200" s="19"/>
      <c r="CU200" s="20"/>
      <c r="CV200" s="20"/>
      <c r="DA200" s="18">
        <f t="shared" si="49"/>
        <v>0</v>
      </c>
      <c r="DB200" s="19">
        <f t="shared" si="50"/>
        <v>0</v>
      </c>
      <c r="DC200" s="19">
        <f t="shared" si="51"/>
        <v>0</v>
      </c>
      <c r="DD200" s="19">
        <f t="shared" si="52"/>
        <v>0</v>
      </c>
      <c r="DE200" s="19">
        <f t="shared" si="53"/>
        <v>0</v>
      </c>
      <c r="DF200" s="19">
        <f t="shared" si="54"/>
        <v>0</v>
      </c>
      <c r="DG200" s="19">
        <f t="shared" si="55"/>
        <v>0</v>
      </c>
      <c r="DH200" s="20">
        <f t="shared" si="56"/>
        <v>0</v>
      </c>
      <c r="DI200" s="20">
        <f t="shared" si="57"/>
        <v>0</v>
      </c>
      <c r="DJ200" s="2"/>
    </row>
    <row r="201" spans="80:114" x14ac:dyDescent="0.3">
      <c r="CB201" s="18"/>
      <c r="CC201" s="19"/>
      <c r="CD201" s="19"/>
      <c r="CE201" s="19"/>
      <c r="CF201" s="19"/>
      <c r="CG201" s="19"/>
      <c r="CH201" s="19"/>
      <c r="CI201" s="20"/>
      <c r="CJ201" s="20"/>
      <c r="CN201" s="18"/>
      <c r="CO201" s="19"/>
      <c r="CP201" s="19"/>
      <c r="CQ201" s="19"/>
      <c r="CR201" s="19"/>
      <c r="CS201" s="19"/>
      <c r="CT201" s="19"/>
      <c r="CU201" s="20"/>
      <c r="CV201" s="20"/>
      <c r="DA201" s="18">
        <f t="shared" si="49"/>
        <v>0</v>
      </c>
      <c r="DB201" s="19">
        <f t="shared" si="50"/>
        <v>0</v>
      </c>
      <c r="DC201" s="19">
        <f t="shared" si="51"/>
        <v>0</v>
      </c>
      <c r="DD201" s="19">
        <f t="shared" si="52"/>
        <v>0</v>
      </c>
      <c r="DE201" s="19">
        <f t="shared" si="53"/>
        <v>0</v>
      </c>
      <c r="DF201" s="19">
        <f t="shared" si="54"/>
        <v>0</v>
      </c>
      <c r="DG201" s="19">
        <f t="shared" si="55"/>
        <v>0</v>
      </c>
      <c r="DH201" s="20">
        <f t="shared" si="56"/>
        <v>0</v>
      </c>
      <c r="DI201" s="20">
        <f t="shared" si="57"/>
        <v>0</v>
      </c>
      <c r="DJ201" s="2"/>
    </row>
    <row r="202" spans="80:114" x14ac:dyDescent="0.3">
      <c r="CB202" s="18"/>
      <c r="CC202" s="19"/>
      <c r="CD202" s="19"/>
      <c r="CE202" s="19"/>
      <c r="CF202" s="19"/>
      <c r="CG202" s="19"/>
      <c r="CH202" s="19"/>
      <c r="CI202" s="20"/>
      <c r="CJ202" s="20"/>
      <c r="CN202" s="18"/>
      <c r="CO202" s="19"/>
      <c r="CP202" s="19"/>
      <c r="CQ202" s="19"/>
      <c r="CR202" s="19"/>
      <c r="CS202" s="19"/>
      <c r="CT202" s="19"/>
      <c r="CU202" s="20"/>
      <c r="CV202" s="20"/>
      <c r="DA202" s="18">
        <f t="shared" si="49"/>
        <v>0</v>
      </c>
      <c r="DB202" s="19">
        <f t="shared" si="50"/>
        <v>0</v>
      </c>
      <c r="DC202" s="19">
        <f t="shared" si="51"/>
        <v>0</v>
      </c>
      <c r="DD202" s="19">
        <f t="shared" si="52"/>
        <v>0</v>
      </c>
      <c r="DE202" s="19">
        <f t="shared" si="53"/>
        <v>0</v>
      </c>
      <c r="DF202" s="19">
        <f t="shared" si="54"/>
        <v>0</v>
      </c>
      <c r="DG202" s="19">
        <f t="shared" si="55"/>
        <v>0</v>
      </c>
      <c r="DH202" s="20">
        <f t="shared" si="56"/>
        <v>0</v>
      </c>
      <c r="DI202" s="20">
        <f t="shared" si="57"/>
        <v>0</v>
      </c>
      <c r="DJ202" s="2"/>
    </row>
    <row r="203" spans="80:114" x14ac:dyDescent="0.3">
      <c r="CB203" s="18"/>
      <c r="CC203" s="19"/>
      <c r="CD203" s="19"/>
      <c r="CE203" s="19"/>
      <c r="CF203" s="19"/>
      <c r="CG203" s="19"/>
      <c r="CH203" s="19"/>
      <c r="CI203" s="20"/>
      <c r="CJ203" s="20"/>
      <c r="CN203" s="18"/>
      <c r="CO203" s="19"/>
      <c r="CP203" s="19"/>
      <c r="CQ203" s="19"/>
      <c r="CR203" s="19"/>
      <c r="CS203" s="19"/>
      <c r="CT203" s="19"/>
      <c r="CU203" s="20"/>
      <c r="CV203" s="20"/>
      <c r="DA203" s="18">
        <f t="shared" si="49"/>
        <v>0</v>
      </c>
      <c r="DB203" s="19">
        <f t="shared" si="50"/>
        <v>0</v>
      </c>
      <c r="DC203" s="19">
        <f t="shared" si="51"/>
        <v>0</v>
      </c>
      <c r="DD203" s="19">
        <f t="shared" si="52"/>
        <v>0</v>
      </c>
      <c r="DE203" s="19">
        <f t="shared" si="53"/>
        <v>0</v>
      </c>
      <c r="DF203" s="19">
        <f t="shared" si="54"/>
        <v>0</v>
      </c>
      <c r="DG203" s="19">
        <f t="shared" si="55"/>
        <v>0</v>
      </c>
      <c r="DH203" s="20">
        <f t="shared" si="56"/>
        <v>0</v>
      </c>
      <c r="DI203" s="20">
        <f t="shared" si="57"/>
        <v>0</v>
      </c>
      <c r="DJ203" s="2"/>
    </row>
    <row r="204" spans="80:114" x14ac:dyDescent="0.3">
      <c r="CB204" s="18"/>
      <c r="CC204" s="19"/>
      <c r="CD204" s="19"/>
      <c r="CE204" s="19"/>
      <c r="CF204" s="19"/>
      <c r="CG204" s="19"/>
      <c r="CH204" s="19"/>
      <c r="CI204" s="20"/>
      <c r="CJ204" s="20"/>
      <c r="CN204" s="18"/>
      <c r="CO204" s="19"/>
      <c r="CP204" s="19"/>
      <c r="CQ204" s="19"/>
      <c r="CR204" s="19"/>
      <c r="CS204" s="19"/>
      <c r="CT204" s="19"/>
      <c r="CU204" s="20"/>
      <c r="CV204" s="20"/>
      <c r="DA204" s="18">
        <f t="shared" si="49"/>
        <v>0</v>
      </c>
      <c r="DB204" s="19">
        <f t="shared" si="50"/>
        <v>0</v>
      </c>
      <c r="DC204" s="19">
        <f t="shared" si="51"/>
        <v>0</v>
      </c>
      <c r="DD204" s="19">
        <f t="shared" si="52"/>
        <v>0</v>
      </c>
      <c r="DE204" s="19">
        <f t="shared" si="53"/>
        <v>0</v>
      </c>
      <c r="DF204" s="19">
        <f t="shared" si="54"/>
        <v>0</v>
      </c>
      <c r="DG204" s="19">
        <f t="shared" si="55"/>
        <v>0</v>
      </c>
      <c r="DH204" s="20">
        <f t="shared" si="56"/>
        <v>0</v>
      </c>
      <c r="DI204" s="20">
        <f t="shared" si="57"/>
        <v>0</v>
      </c>
      <c r="DJ204" s="2"/>
    </row>
    <row r="205" spans="80:114" x14ac:dyDescent="0.3">
      <c r="CB205" s="18"/>
      <c r="CC205" s="19"/>
      <c r="CD205" s="19"/>
      <c r="CE205" s="19"/>
      <c r="CF205" s="19"/>
      <c r="CG205" s="19"/>
      <c r="CH205" s="19"/>
      <c r="CI205" s="20"/>
      <c r="CJ205" s="20"/>
      <c r="CN205" s="18"/>
      <c r="CO205" s="19"/>
      <c r="CP205" s="19"/>
      <c r="CQ205" s="19"/>
      <c r="CR205" s="19"/>
      <c r="CS205" s="19"/>
      <c r="CT205" s="19"/>
      <c r="CU205" s="20"/>
      <c r="CV205" s="20"/>
      <c r="DA205" s="18">
        <f t="shared" si="49"/>
        <v>0</v>
      </c>
      <c r="DB205" s="19">
        <f t="shared" si="50"/>
        <v>0</v>
      </c>
      <c r="DC205" s="19">
        <f t="shared" si="51"/>
        <v>0</v>
      </c>
      <c r="DD205" s="19">
        <f t="shared" si="52"/>
        <v>0</v>
      </c>
      <c r="DE205" s="19">
        <f t="shared" si="53"/>
        <v>0</v>
      </c>
      <c r="DF205" s="19">
        <f t="shared" si="54"/>
        <v>0</v>
      </c>
      <c r="DG205" s="19">
        <f t="shared" si="55"/>
        <v>0</v>
      </c>
      <c r="DH205" s="20">
        <f t="shared" si="56"/>
        <v>0</v>
      </c>
      <c r="DI205" s="20">
        <f t="shared" si="57"/>
        <v>0</v>
      </c>
      <c r="DJ205" s="2"/>
    </row>
    <row r="206" spans="80:114" x14ac:dyDescent="0.3">
      <c r="CB206" s="18"/>
      <c r="CC206" s="19"/>
      <c r="CD206" s="19"/>
      <c r="CE206" s="19"/>
      <c r="CF206" s="19"/>
      <c r="CG206" s="19"/>
      <c r="CH206" s="19"/>
      <c r="CI206" s="20"/>
      <c r="CJ206" s="20"/>
      <c r="CN206" s="18"/>
      <c r="CO206" s="19"/>
      <c r="CP206" s="19"/>
      <c r="CQ206" s="19"/>
      <c r="CR206" s="19"/>
      <c r="CS206" s="19"/>
      <c r="CT206" s="19"/>
      <c r="CU206" s="20"/>
      <c r="CV206" s="20"/>
      <c r="DA206" s="18">
        <f t="shared" si="49"/>
        <v>0</v>
      </c>
      <c r="DB206" s="19">
        <f t="shared" si="50"/>
        <v>0</v>
      </c>
      <c r="DC206" s="19">
        <f t="shared" si="51"/>
        <v>0</v>
      </c>
      <c r="DD206" s="19">
        <f t="shared" si="52"/>
        <v>0</v>
      </c>
      <c r="DE206" s="19">
        <f t="shared" si="53"/>
        <v>0</v>
      </c>
      <c r="DF206" s="19">
        <f t="shared" si="54"/>
        <v>0</v>
      </c>
      <c r="DG206" s="19">
        <f t="shared" si="55"/>
        <v>0</v>
      </c>
      <c r="DH206" s="20">
        <f t="shared" si="56"/>
        <v>0</v>
      </c>
      <c r="DI206" s="20">
        <f t="shared" si="57"/>
        <v>0</v>
      </c>
      <c r="DJ206" s="2"/>
    </row>
    <row r="207" spans="80:114" x14ac:dyDescent="0.3">
      <c r="CB207" s="18"/>
      <c r="CC207" s="19"/>
      <c r="CD207" s="19"/>
      <c r="CE207" s="19"/>
      <c r="CF207" s="19"/>
      <c r="CG207" s="19"/>
      <c r="CH207" s="19"/>
      <c r="CI207" s="20"/>
      <c r="CJ207" s="20"/>
      <c r="CN207" s="18"/>
      <c r="CO207" s="19"/>
      <c r="CP207" s="19"/>
      <c r="CQ207" s="19"/>
      <c r="CR207" s="19"/>
      <c r="CS207" s="19"/>
      <c r="CT207" s="19"/>
      <c r="CU207" s="20"/>
      <c r="CV207" s="20"/>
      <c r="DA207" s="18">
        <f t="shared" si="49"/>
        <v>0</v>
      </c>
      <c r="DB207" s="19">
        <f t="shared" si="50"/>
        <v>0</v>
      </c>
      <c r="DC207" s="19">
        <f t="shared" si="51"/>
        <v>0</v>
      </c>
      <c r="DD207" s="19">
        <f t="shared" si="52"/>
        <v>0</v>
      </c>
      <c r="DE207" s="19">
        <f t="shared" si="53"/>
        <v>0</v>
      </c>
      <c r="DF207" s="19">
        <f t="shared" si="54"/>
        <v>0</v>
      </c>
      <c r="DG207" s="19">
        <f t="shared" si="55"/>
        <v>0</v>
      </c>
      <c r="DH207" s="20">
        <f t="shared" si="56"/>
        <v>0</v>
      </c>
      <c r="DI207" s="20">
        <f t="shared" si="57"/>
        <v>0</v>
      </c>
      <c r="DJ207" s="2"/>
    </row>
    <row r="208" spans="80:114" x14ac:dyDescent="0.3">
      <c r="CB208" s="18"/>
      <c r="CC208" s="19"/>
      <c r="CD208" s="19"/>
      <c r="CE208" s="19"/>
      <c r="CF208" s="19"/>
      <c r="CG208" s="19"/>
      <c r="CH208" s="19"/>
      <c r="CI208" s="20"/>
      <c r="CJ208" s="20"/>
      <c r="CN208" s="18"/>
      <c r="CO208" s="19"/>
      <c r="CP208" s="19"/>
      <c r="CQ208" s="19"/>
      <c r="CR208" s="19"/>
      <c r="CS208" s="19"/>
      <c r="CT208" s="19"/>
      <c r="CU208" s="20"/>
      <c r="CV208" s="20"/>
      <c r="DA208" s="18">
        <f t="shared" si="49"/>
        <v>0</v>
      </c>
      <c r="DB208" s="19">
        <f t="shared" si="50"/>
        <v>0</v>
      </c>
      <c r="DC208" s="19">
        <f t="shared" si="51"/>
        <v>0</v>
      </c>
      <c r="DD208" s="19">
        <f t="shared" si="52"/>
        <v>0</v>
      </c>
      <c r="DE208" s="19">
        <f t="shared" si="53"/>
        <v>0</v>
      </c>
      <c r="DF208" s="19">
        <f t="shared" si="54"/>
        <v>0</v>
      </c>
      <c r="DG208" s="19">
        <f t="shared" si="55"/>
        <v>0</v>
      </c>
      <c r="DH208" s="20">
        <f t="shared" si="56"/>
        <v>0</v>
      </c>
      <c r="DI208" s="20">
        <f t="shared" si="57"/>
        <v>0</v>
      </c>
      <c r="DJ208" s="2"/>
    </row>
    <row r="209" spans="80:114" x14ac:dyDescent="0.3">
      <c r="CB209" s="18"/>
      <c r="CC209" s="19"/>
      <c r="CD209" s="19"/>
      <c r="CE209" s="19"/>
      <c r="CF209" s="19"/>
      <c r="CG209" s="19"/>
      <c r="CH209" s="19"/>
      <c r="CI209" s="20"/>
      <c r="CJ209" s="20"/>
      <c r="CN209" s="18"/>
      <c r="CO209" s="19"/>
      <c r="CP209" s="19"/>
      <c r="CQ209" s="19"/>
      <c r="CR209" s="19"/>
      <c r="CS209" s="19"/>
      <c r="CT209" s="19"/>
      <c r="CU209" s="20"/>
      <c r="CV209" s="20"/>
      <c r="DA209" s="18">
        <f t="shared" si="49"/>
        <v>0</v>
      </c>
      <c r="DB209" s="19">
        <f t="shared" si="50"/>
        <v>0</v>
      </c>
      <c r="DC209" s="19">
        <f t="shared" si="51"/>
        <v>0</v>
      </c>
      <c r="DD209" s="19">
        <f t="shared" si="52"/>
        <v>0</v>
      </c>
      <c r="DE209" s="19">
        <f t="shared" si="53"/>
        <v>0</v>
      </c>
      <c r="DF209" s="19">
        <f t="shared" si="54"/>
        <v>0</v>
      </c>
      <c r="DG209" s="19">
        <f t="shared" si="55"/>
        <v>0</v>
      </c>
      <c r="DH209" s="20">
        <f t="shared" si="56"/>
        <v>0</v>
      </c>
      <c r="DI209" s="20">
        <f t="shared" si="57"/>
        <v>0</v>
      </c>
      <c r="DJ209" s="2"/>
    </row>
    <row r="210" spans="80:114" x14ac:dyDescent="0.3">
      <c r="CB210" s="18"/>
      <c r="CC210" s="19"/>
      <c r="CD210" s="19"/>
      <c r="CE210" s="19"/>
      <c r="CF210" s="19"/>
      <c r="CG210" s="19"/>
      <c r="CH210" s="19"/>
      <c r="CI210" s="20"/>
      <c r="CJ210" s="20"/>
      <c r="CN210" s="18"/>
      <c r="CO210" s="19"/>
      <c r="CP210" s="19"/>
      <c r="CQ210" s="19"/>
      <c r="CR210" s="19"/>
      <c r="CS210" s="19"/>
      <c r="CT210" s="19"/>
      <c r="CU210" s="20"/>
      <c r="CV210" s="20"/>
      <c r="DA210" s="18">
        <f t="shared" si="49"/>
        <v>0</v>
      </c>
      <c r="DB210" s="19">
        <f t="shared" si="50"/>
        <v>0</v>
      </c>
      <c r="DC210" s="19">
        <f t="shared" si="51"/>
        <v>0</v>
      </c>
      <c r="DD210" s="19">
        <f t="shared" si="52"/>
        <v>0</v>
      </c>
      <c r="DE210" s="19">
        <f t="shared" si="53"/>
        <v>0</v>
      </c>
      <c r="DF210" s="19">
        <f t="shared" si="54"/>
        <v>0</v>
      </c>
      <c r="DG210" s="19">
        <f t="shared" si="55"/>
        <v>0</v>
      </c>
      <c r="DH210" s="20">
        <f t="shared" si="56"/>
        <v>0</v>
      </c>
      <c r="DI210" s="20">
        <f t="shared" si="57"/>
        <v>0</v>
      </c>
      <c r="DJ210" s="2"/>
    </row>
    <row r="211" spans="80:114" x14ac:dyDescent="0.3">
      <c r="CB211" s="18"/>
      <c r="CC211" s="19"/>
      <c r="CD211" s="19"/>
      <c r="CE211" s="19"/>
      <c r="CF211" s="19"/>
      <c r="CG211" s="19"/>
      <c r="CH211" s="19"/>
      <c r="CI211" s="20"/>
      <c r="CJ211" s="20"/>
      <c r="CN211" s="18"/>
      <c r="CO211" s="19"/>
      <c r="CP211" s="19"/>
      <c r="CQ211" s="19"/>
      <c r="CR211" s="19"/>
      <c r="CS211" s="19"/>
      <c r="CT211" s="19"/>
      <c r="CU211" s="20"/>
      <c r="CV211" s="20"/>
      <c r="DA211" s="18">
        <f t="shared" si="49"/>
        <v>0</v>
      </c>
      <c r="DB211" s="19">
        <f t="shared" si="50"/>
        <v>0</v>
      </c>
      <c r="DC211" s="19">
        <f t="shared" si="51"/>
        <v>0</v>
      </c>
      <c r="DD211" s="19">
        <f t="shared" si="52"/>
        <v>0</v>
      </c>
      <c r="DE211" s="19">
        <f t="shared" si="53"/>
        <v>0</v>
      </c>
      <c r="DF211" s="19">
        <f t="shared" si="54"/>
        <v>0</v>
      </c>
      <c r="DG211" s="19">
        <f t="shared" si="55"/>
        <v>0</v>
      </c>
      <c r="DH211" s="20">
        <f t="shared" si="56"/>
        <v>0</v>
      </c>
      <c r="DI211" s="20">
        <f t="shared" si="57"/>
        <v>0</v>
      </c>
      <c r="DJ211" s="2"/>
    </row>
    <row r="212" spans="80:114" x14ac:dyDescent="0.3">
      <c r="CB212" s="18"/>
      <c r="CC212" s="19"/>
      <c r="CD212" s="19"/>
      <c r="CE212" s="19"/>
      <c r="CF212" s="19"/>
      <c r="CG212" s="19"/>
      <c r="CH212" s="19"/>
      <c r="CI212" s="20"/>
      <c r="CJ212" s="20"/>
      <c r="CN212" s="18"/>
      <c r="CO212" s="19"/>
      <c r="CP212" s="19"/>
      <c r="CQ212" s="19"/>
      <c r="CR212" s="19"/>
      <c r="CS212" s="19"/>
      <c r="CT212" s="19"/>
      <c r="CU212" s="20"/>
      <c r="CV212" s="20"/>
      <c r="DA212" s="18">
        <f t="shared" si="49"/>
        <v>0</v>
      </c>
      <c r="DB212" s="19">
        <f t="shared" si="50"/>
        <v>0</v>
      </c>
      <c r="DC212" s="19">
        <f t="shared" si="51"/>
        <v>0</v>
      </c>
      <c r="DD212" s="19">
        <f t="shared" si="52"/>
        <v>0</v>
      </c>
      <c r="DE212" s="19">
        <f t="shared" si="53"/>
        <v>0</v>
      </c>
      <c r="DF212" s="19">
        <f t="shared" si="54"/>
        <v>0</v>
      </c>
      <c r="DG212" s="19">
        <f t="shared" si="55"/>
        <v>0</v>
      </c>
      <c r="DH212" s="20">
        <f t="shared" si="56"/>
        <v>0</v>
      </c>
      <c r="DI212" s="20">
        <f t="shared" si="57"/>
        <v>0</v>
      </c>
      <c r="DJ212" s="2"/>
    </row>
    <row r="213" spans="80:114" x14ac:dyDescent="0.3">
      <c r="CB213" s="18"/>
      <c r="CC213" s="19"/>
      <c r="CD213" s="19"/>
      <c r="CE213" s="19"/>
      <c r="CF213" s="19"/>
      <c r="CG213" s="19"/>
      <c r="CH213" s="19"/>
      <c r="CI213" s="20"/>
      <c r="CJ213" s="20"/>
      <c r="CN213" s="18"/>
      <c r="CO213" s="19"/>
      <c r="CP213" s="19"/>
      <c r="CQ213" s="19"/>
      <c r="CR213" s="19"/>
      <c r="CS213" s="19"/>
      <c r="CT213" s="19"/>
      <c r="CU213" s="20"/>
      <c r="CV213" s="20"/>
      <c r="DA213" s="18">
        <f t="shared" si="49"/>
        <v>0</v>
      </c>
      <c r="DB213" s="19">
        <f t="shared" si="50"/>
        <v>0</v>
      </c>
      <c r="DC213" s="19">
        <f t="shared" si="51"/>
        <v>0</v>
      </c>
      <c r="DD213" s="19">
        <f t="shared" si="52"/>
        <v>0</v>
      </c>
      <c r="DE213" s="19">
        <f t="shared" si="53"/>
        <v>0</v>
      </c>
      <c r="DF213" s="19">
        <f t="shared" si="54"/>
        <v>0</v>
      </c>
      <c r="DG213" s="19">
        <f t="shared" si="55"/>
        <v>0</v>
      </c>
      <c r="DH213" s="20">
        <f t="shared" si="56"/>
        <v>0</v>
      </c>
      <c r="DI213" s="20">
        <f t="shared" si="57"/>
        <v>0</v>
      </c>
      <c r="DJ213" s="2"/>
    </row>
    <row r="214" spans="80:114" x14ac:dyDescent="0.3">
      <c r="CB214" s="18"/>
      <c r="CC214" s="19"/>
      <c r="CD214" s="19"/>
      <c r="CE214" s="19"/>
      <c r="CF214" s="19"/>
      <c r="CG214" s="19"/>
      <c r="CH214" s="19"/>
      <c r="CI214" s="20"/>
      <c r="CJ214" s="20"/>
      <c r="CN214" s="18"/>
      <c r="CO214" s="19"/>
      <c r="CP214" s="19"/>
      <c r="CQ214" s="19"/>
      <c r="CR214" s="19"/>
      <c r="CS214" s="19"/>
      <c r="CT214" s="19"/>
      <c r="CU214" s="20"/>
      <c r="CV214" s="20"/>
      <c r="DA214" s="18">
        <f t="shared" si="49"/>
        <v>0</v>
      </c>
      <c r="DB214" s="19">
        <f t="shared" si="50"/>
        <v>0</v>
      </c>
      <c r="DC214" s="19">
        <f t="shared" si="51"/>
        <v>0</v>
      </c>
      <c r="DD214" s="19">
        <f t="shared" si="52"/>
        <v>0</v>
      </c>
      <c r="DE214" s="19">
        <f t="shared" si="53"/>
        <v>0</v>
      </c>
      <c r="DF214" s="19">
        <f t="shared" si="54"/>
        <v>0</v>
      </c>
      <c r="DG214" s="19">
        <f t="shared" si="55"/>
        <v>0</v>
      </c>
      <c r="DH214" s="20">
        <f t="shared" si="56"/>
        <v>0</v>
      </c>
      <c r="DI214" s="20">
        <f t="shared" si="57"/>
        <v>0</v>
      </c>
      <c r="DJ214" s="2"/>
    </row>
    <row r="215" spans="80:114" x14ac:dyDescent="0.3">
      <c r="CB215" s="18"/>
      <c r="CC215" s="19"/>
      <c r="CD215" s="19"/>
      <c r="CE215" s="19"/>
      <c r="CF215" s="19"/>
      <c r="CG215" s="19"/>
      <c r="CH215" s="19"/>
      <c r="CI215" s="20"/>
      <c r="CJ215" s="20"/>
      <c r="CN215" s="18"/>
      <c r="CO215" s="19"/>
      <c r="CP215" s="19"/>
      <c r="CQ215" s="19"/>
      <c r="CR215" s="19"/>
      <c r="CS215" s="19"/>
      <c r="CT215" s="19"/>
      <c r="CU215" s="20"/>
      <c r="CV215" s="20"/>
      <c r="DA215" s="18">
        <f t="shared" si="49"/>
        <v>0</v>
      </c>
      <c r="DB215" s="19">
        <f t="shared" si="50"/>
        <v>0</v>
      </c>
      <c r="DC215" s="19">
        <f t="shared" si="51"/>
        <v>0</v>
      </c>
      <c r="DD215" s="19">
        <f t="shared" si="52"/>
        <v>0</v>
      </c>
      <c r="DE215" s="19">
        <f t="shared" si="53"/>
        <v>0</v>
      </c>
      <c r="DF215" s="19">
        <f t="shared" si="54"/>
        <v>0</v>
      </c>
      <c r="DG215" s="19">
        <f t="shared" si="55"/>
        <v>0</v>
      </c>
      <c r="DH215" s="20">
        <f t="shared" si="56"/>
        <v>0</v>
      </c>
      <c r="DI215" s="20">
        <f t="shared" si="57"/>
        <v>0</v>
      </c>
      <c r="DJ215" s="2"/>
    </row>
    <row r="216" spans="80:114" x14ac:dyDescent="0.3">
      <c r="CB216" s="18"/>
      <c r="CC216" s="19"/>
      <c r="CD216" s="19"/>
      <c r="CE216" s="19"/>
      <c r="CF216" s="19"/>
      <c r="CG216" s="19"/>
      <c r="CH216" s="19"/>
      <c r="CI216" s="20"/>
      <c r="CJ216" s="20"/>
      <c r="CN216" s="18"/>
      <c r="CO216" s="19"/>
      <c r="CP216" s="19"/>
      <c r="CQ216" s="19"/>
      <c r="CR216" s="19"/>
      <c r="CS216" s="19"/>
      <c r="CT216" s="19"/>
      <c r="CU216" s="20"/>
      <c r="CV216" s="20"/>
      <c r="DA216" s="18">
        <f t="shared" si="49"/>
        <v>0</v>
      </c>
      <c r="DB216" s="19">
        <f t="shared" si="50"/>
        <v>0</v>
      </c>
      <c r="DC216" s="19">
        <f t="shared" si="51"/>
        <v>0</v>
      </c>
      <c r="DD216" s="19">
        <f t="shared" si="52"/>
        <v>0</v>
      </c>
      <c r="DE216" s="19">
        <f t="shared" si="53"/>
        <v>0</v>
      </c>
      <c r="DF216" s="19">
        <f t="shared" si="54"/>
        <v>0</v>
      </c>
      <c r="DG216" s="19">
        <f t="shared" si="55"/>
        <v>0</v>
      </c>
      <c r="DH216" s="20">
        <f t="shared" si="56"/>
        <v>0</v>
      </c>
      <c r="DI216" s="20">
        <f t="shared" si="57"/>
        <v>0</v>
      </c>
      <c r="DJ216" s="2"/>
    </row>
    <row r="217" spans="80:114" x14ac:dyDescent="0.3">
      <c r="CB217" s="18"/>
      <c r="CC217" s="19"/>
      <c r="CD217" s="19"/>
      <c r="CE217" s="19"/>
      <c r="CF217" s="19"/>
      <c r="CG217" s="19"/>
      <c r="CH217" s="19"/>
      <c r="CI217" s="20"/>
      <c r="CJ217" s="20"/>
      <c r="CN217" s="18"/>
      <c r="CO217" s="19"/>
      <c r="CP217" s="19"/>
      <c r="CQ217" s="19"/>
      <c r="CR217" s="19"/>
      <c r="CS217" s="19"/>
      <c r="CT217" s="19"/>
      <c r="CU217" s="20"/>
      <c r="CV217" s="20"/>
      <c r="DA217" s="18">
        <f t="shared" si="49"/>
        <v>0</v>
      </c>
      <c r="DB217" s="19">
        <f t="shared" si="50"/>
        <v>0</v>
      </c>
      <c r="DC217" s="19">
        <f t="shared" si="51"/>
        <v>0</v>
      </c>
      <c r="DD217" s="19">
        <f t="shared" si="52"/>
        <v>0</v>
      </c>
      <c r="DE217" s="19">
        <f t="shared" si="53"/>
        <v>0</v>
      </c>
      <c r="DF217" s="19">
        <f t="shared" si="54"/>
        <v>0</v>
      </c>
      <c r="DG217" s="19">
        <f t="shared" si="55"/>
        <v>0</v>
      </c>
      <c r="DH217" s="20">
        <f t="shared" si="56"/>
        <v>0</v>
      </c>
      <c r="DI217" s="20">
        <f t="shared" si="57"/>
        <v>0</v>
      </c>
      <c r="DJ217" s="2"/>
    </row>
    <row r="218" spans="80:114" x14ac:dyDescent="0.3">
      <c r="CB218" s="18"/>
      <c r="CC218" s="19"/>
      <c r="CD218" s="19"/>
      <c r="CE218" s="19"/>
      <c r="CF218" s="19"/>
      <c r="CG218" s="19"/>
      <c r="CH218" s="19"/>
      <c r="CI218" s="20"/>
      <c r="CJ218" s="20"/>
      <c r="CN218" s="18"/>
      <c r="CO218" s="19"/>
      <c r="CP218" s="19"/>
      <c r="CQ218" s="19"/>
      <c r="CR218" s="19"/>
      <c r="CS218" s="19"/>
      <c r="CT218" s="19"/>
      <c r="CU218" s="20"/>
      <c r="CV218" s="20"/>
      <c r="DA218" s="18">
        <f t="shared" si="49"/>
        <v>0</v>
      </c>
      <c r="DB218" s="19">
        <f t="shared" si="50"/>
        <v>0</v>
      </c>
      <c r="DC218" s="19">
        <f t="shared" si="51"/>
        <v>0</v>
      </c>
      <c r="DD218" s="19">
        <f t="shared" si="52"/>
        <v>0</v>
      </c>
      <c r="DE218" s="19">
        <f t="shared" si="53"/>
        <v>0</v>
      </c>
      <c r="DF218" s="19">
        <f t="shared" si="54"/>
        <v>0</v>
      </c>
      <c r="DG218" s="19">
        <f t="shared" si="55"/>
        <v>0</v>
      </c>
      <c r="DH218" s="20">
        <f t="shared" si="56"/>
        <v>0</v>
      </c>
      <c r="DI218" s="20">
        <f t="shared" si="57"/>
        <v>0</v>
      </c>
      <c r="DJ218" s="2"/>
    </row>
    <row r="219" spans="80:114" x14ac:dyDescent="0.3">
      <c r="CB219" s="18"/>
      <c r="CC219" s="19"/>
      <c r="CD219" s="19"/>
      <c r="CE219" s="19"/>
      <c r="CF219" s="19"/>
      <c r="CG219" s="19"/>
      <c r="CH219" s="19"/>
      <c r="CI219" s="20"/>
      <c r="CJ219" s="20"/>
      <c r="CN219" s="18"/>
      <c r="CO219" s="19"/>
      <c r="CP219" s="19"/>
      <c r="CQ219" s="19"/>
      <c r="CR219" s="19"/>
      <c r="CS219" s="19"/>
      <c r="CT219" s="19"/>
      <c r="CU219" s="20"/>
      <c r="CV219" s="20"/>
      <c r="DA219" s="18">
        <f t="shared" si="49"/>
        <v>0</v>
      </c>
      <c r="DB219" s="19">
        <f t="shared" si="50"/>
        <v>0</v>
      </c>
      <c r="DC219" s="19">
        <f t="shared" si="51"/>
        <v>0</v>
      </c>
      <c r="DD219" s="19">
        <f t="shared" si="52"/>
        <v>0</v>
      </c>
      <c r="DE219" s="19">
        <f t="shared" si="53"/>
        <v>0</v>
      </c>
      <c r="DF219" s="19">
        <f t="shared" si="54"/>
        <v>0</v>
      </c>
      <c r="DG219" s="19">
        <f t="shared" si="55"/>
        <v>0</v>
      </c>
      <c r="DH219" s="20">
        <f t="shared" si="56"/>
        <v>0</v>
      </c>
      <c r="DI219" s="20">
        <f t="shared" si="57"/>
        <v>0</v>
      </c>
      <c r="DJ219" s="2"/>
    </row>
    <row r="220" spans="80:114" x14ac:dyDescent="0.3">
      <c r="CB220" s="18"/>
      <c r="CC220" s="19"/>
      <c r="CD220" s="19"/>
      <c r="CE220" s="19"/>
      <c r="CF220" s="19"/>
      <c r="CG220" s="19"/>
      <c r="CH220" s="19"/>
      <c r="CI220" s="20"/>
      <c r="CJ220" s="20"/>
      <c r="CN220" s="18"/>
      <c r="CO220" s="19"/>
      <c r="CP220" s="19"/>
      <c r="CQ220" s="19"/>
      <c r="CR220" s="19"/>
      <c r="CS220" s="19"/>
      <c r="CT220" s="19"/>
      <c r="CU220" s="20"/>
      <c r="CV220" s="20"/>
      <c r="DA220" s="18">
        <f t="shared" si="49"/>
        <v>0</v>
      </c>
      <c r="DB220" s="19">
        <f t="shared" si="50"/>
        <v>0</v>
      </c>
      <c r="DC220" s="19">
        <f t="shared" si="51"/>
        <v>0</v>
      </c>
      <c r="DD220" s="19">
        <f t="shared" si="52"/>
        <v>0</v>
      </c>
      <c r="DE220" s="19">
        <f t="shared" si="53"/>
        <v>0</v>
      </c>
      <c r="DF220" s="19">
        <f t="shared" si="54"/>
        <v>0</v>
      </c>
      <c r="DG220" s="19">
        <f t="shared" si="55"/>
        <v>0</v>
      </c>
      <c r="DH220" s="20">
        <f t="shared" si="56"/>
        <v>0</v>
      </c>
      <c r="DI220" s="20">
        <f t="shared" si="57"/>
        <v>0</v>
      </c>
      <c r="DJ220" s="2"/>
    </row>
    <row r="221" spans="80:114" x14ac:dyDescent="0.3">
      <c r="CB221" s="18"/>
      <c r="CC221" s="19"/>
      <c r="CD221" s="19"/>
      <c r="CE221" s="19"/>
      <c r="CF221" s="19"/>
      <c r="CG221" s="19"/>
      <c r="CH221" s="19"/>
      <c r="CI221" s="20"/>
      <c r="CJ221" s="20"/>
      <c r="CN221" s="18"/>
      <c r="CO221" s="19"/>
      <c r="CP221" s="19"/>
      <c r="CQ221" s="19"/>
      <c r="CR221" s="19"/>
      <c r="CS221" s="19"/>
      <c r="CT221" s="19"/>
      <c r="CU221" s="20"/>
      <c r="CV221" s="20"/>
      <c r="DA221" s="18">
        <f t="shared" si="49"/>
        <v>0</v>
      </c>
      <c r="DB221" s="19">
        <f t="shared" si="50"/>
        <v>0</v>
      </c>
      <c r="DC221" s="19">
        <f t="shared" si="51"/>
        <v>0</v>
      </c>
      <c r="DD221" s="19">
        <f t="shared" si="52"/>
        <v>0</v>
      </c>
      <c r="DE221" s="19">
        <f t="shared" si="53"/>
        <v>0</v>
      </c>
      <c r="DF221" s="19">
        <f t="shared" si="54"/>
        <v>0</v>
      </c>
      <c r="DG221" s="19">
        <f t="shared" si="55"/>
        <v>0</v>
      </c>
      <c r="DH221" s="20">
        <f t="shared" si="56"/>
        <v>0</v>
      </c>
      <c r="DI221" s="20">
        <f t="shared" si="57"/>
        <v>0</v>
      </c>
      <c r="DJ221" s="2"/>
    </row>
    <row r="222" spans="80:114" x14ac:dyDescent="0.3">
      <c r="CB222" s="18"/>
      <c r="CC222" s="19"/>
      <c r="CD222" s="19"/>
      <c r="CE222" s="19"/>
      <c r="CF222" s="19"/>
      <c r="CG222" s="19"/>
      <c r="CH222" s="19"/>
      <c r="CI222" s="20"/>
      <c r="CJ222" s="20"/>
      <c r="CN222" s="18"/>
      <c r="CO222" s="19"/>
      <c r="CP222" s="19"/>
      <c r="CQ222" s="19"/>
      <c r="CR222" s="19"/>
      <c r="CS222" s="19"/>
      <c r="CT222" s="19"/>
      <c r="CU222" s="20"/>
      <c r="CV222" s="20"/>
      <c r="DA222" s="18">
        <f t="shared" si="49"/>
        <v>0</v>
      </c>
      <c r="DB222" s="19">
        <f t="shared" si="50"/>
        <v>0</v>
      </c>
      <c r="DC222" s="19">
        <f t="shared" si="51"/>
        <v>0</v>
      </c>
      <c r="DD222" s="19">
        <f t="shared" si="52"/>
        <v>0</v>
      </c>
      <c r="DE222" s="19">
        <f t="shared" si="53"/>
        <v>0</v>
      </c>
      <c r="DF222" s="19">
        <f t="shared" si="54"/>
        <v>0</v>
      </c>
      <c r="DG222" s="19">
        <f t="shared" si="55"/>
        <v>0</v>
      </c>
      <c r="DH222" s="20">
        <f t="shared" si="56"/>
        <v>0</v>
      </c>
      <c r="DI222" s="20">
        <f t="shared" si="57"/>
        <v>0</v>
      </c>
      <c r="DJ222" s="2"/>
    </row>
    <row r="223" spans="80:114" x14ac:dyDescent="0.3">
      <c r="CB223" s="18"/>
      <c r="CC223" s="19"/>
      <c r="CD223" s="19"/>
      <c r="CE223" s="19"/>
      <c r="CF223" s="19"/>
      <c r="CG223" s="19"/>
      <c r="CH223" s="19"/>
      <c r="CI223" s="20"/>
      <c r="CJ223" s="20"/>
      <c r="CN223" s="18"/>
      <c r="CO223" s="19"/>
      <c r="CP223" s="19"/>
      <c r="CQ223" s="19"/>
      <c r="CR223" s="19"/>
      <c r="CS223" s="19"/>
      <c r="CT223" s="19"/>
      <c r="CU223" s="20"/>
      <c r="CV223" s="20"/>
      <c r="DA223" s="18">
        <f t="shared" si="49"/>
        <v>0</v>
      </c>
      <c r="DB223" s="19">
        <f t="shared" si="50"/>
        <v>0</v>
      </c>
      <c r="DC223" s="19">
        <f t="shared" si="51"/>
        <v>0</v>
      </c>
      <c r="DD223" s="19">
        <f t="shared" si="52"/>
        <v>0</v>
      </c>
      <c r="DE223" s="19">
        <f t="shared" si="53"/>
        <v>0</v>
      </c>
      <c r="DF223" s="19">
        <f t="shared" si="54"/>
        <v>0</v>
      </c>
      <c r="DG223" s="19">
        <f t="shared" si="55"/>
        <v>0</v>
      </c>
      <c r="DH223" s="20">
        <f t="shared" si="56"/>
        <v>0</v>
      </c>
      <c r="DI223" s="20">
        <f t="shared" si="57"/>
        <v>0</v>
      </c>
      <c r="DJ223" s="2"/>
    </row>
    <row r="224" spans="80:114" x14ac:dyDescent="0.3">
      <c r="CB224" s="18"/>
      <c r="CC224" s="19"/>
      <c r="CD224" s="19"/>
      <c r="CE224" s="19"/>
      <c r="CF224" s="19"/>
      <c r="CG224" s="19"/>
      <c r="CH224" s="19"/>
      <c r="CI224" s="20"/>
      <c r="CJ224" s="20"/>
      <c r="CN224" s="18"/>
      <c r="CO224" s="19"/>
      <c r="CP224" s="19"/>
      <c r="CQ224" s="19"/>
      <c r="CR224" s="19"/>
      <c r="CS224" s="19"/>
      <c r="CT224" s="19"/>
      <c r="CU224" s="20"/>
      <c r="CV224" s="20"/>
      <c r="DA224" s="18">
        <f t="shared" si="49"/>
        <v>0</v>
      </c>
      <c r="DB224" s="19">
        <f t="shared" si="50"/>
        <v>0</v>
      </c>
      <c r="DC224" s="19">
        <f t="shared" si="51"/>
        <v>0</v>
      </c>
      <c r="DD224" s="19">
        <f t="shared" si="52"/>
        <v>0</v>
      </c>
      <c r="DE224" s="19">
        <f t="shared" si="53"/>
        <v>0</v>
      </c>
      <c r="DF224" s="19">
        <f t="shared" si="54"/>
        <v>0</v>
      </c>
      <c r="DG224" s="19">
        <f t="shared" si="55"/>
        <v>0</v>
      </c>
      <c r="DH224" s="20">
        <f t="shared" si="56"/>
        <v>0</v>
      </c>
      <c r="DI224" s="20">
        <f t="shared" si="57"/>
        <v>0</v>
      </c>
      <c r="DJ224" s="2"/>
    </row>
    <row r="225" spans="80:114" x14ac:dyDescent="0.3">
      <c r="CB225" s="18"/>
      <c r="CC225" s="19"/>
      <c r="CD225" s="19"/>
      <c r="CE225" s="19"/>
      <c r="CF225" s="19"/>
      <c r="CG225" s="19"/>
      <c r="CH225" s="19"/>
      <c r="CI225" s="20"/>
      <c r="CJ225" s="20"/>
      <c r="CN225" s="18"/>
      <c r="CO225" s="19"/>
      <c r="CP225" s="19"/>
      <c r="CQ225" s="19"/>
      <c r="CR225" s="19"/>
      <c r="CS225" s="19"/>
      <c r="CT225" s="19"/>
      <c r="CU225" s="20"/>
      <c r="CV225" s="20"/>
      <c r="DA225" s="18">
        <f t="shared" si="49"/>
        <v>0</v>
      </c>
      <c r="DB225" s="19">
        <f t="shared" si="50"/>
        <v>0</v>
      </c>
      <c r="DC225" s="19">
        <f t="shared" si="51"/>
        <v>0</v>
      </c>
      <c r="DD225" s="19">
        <f t="shared" si="52"/>
        <v>0</v>
      </c>
      <c r="DE225" s="19">
        <f t="shared" si="53"/>
        <v>0</v>
      </c>
      <c r="DF225" s="19">
        <f t="shared" si="54"/>
        <v>0</v>
      </c>
      <c r="DG225" s="19">
        <f t="shared" si="55"/>
        <v>0</v>
      </c>
      <c r="DH225" s="20">
        <f t="shared" si="56"/>
        <v>0</v>
      </c>
      <c r="DI225" s="20">
        <f t="shared" si="57"/>
        <v>0</v>
      </c>
      <c r="DJ225" s="2"/>
    </row>
    <row r="226" spans="80:114" x14ac:dyDescent="0.3">
      <c r="CB226" s="18"/>
      <c r="CC226" s="19"/>
      <c r="CD226" s="19"/>
      <c r="CE226" s="19"/>
      <c r="CF226" s="19"/>
      <c r="CG226" s="19"/>
      <c r="CH226" s="19"/>
      <c r="CI226" s="20"/>
      <c r="CJ226" s="20"/>
      <c r="CN226" s="18"/>
      <c r="CO226" s="19"/>
      <c r="CP226" s="19"/>
      <c r="CQ226" s="19"/>
      <c r="CR226" s="19"/>
      <c r="CS226" s="19"/>
      <c r="CT226" s="19"/>
      <c r="CU226" s="20"/>
      <c r="CV226" s="20"/>
      <c r="DA226" s="18">
        <f t="shared" si="49"/>
        <v>0</v>
      </c>
      <c r="DB226" s="19">
        <f t="shared" si="50"/>
        <v>0</v>
      </c>
      <c r="DC226" s="19">
        <f t="shared" si="51"/>
        <v>0</v>
      </c>
      <c r="DD226" s="19">
        <f t="shared" si="52"/>
        <v>0</v>
      </c>
      <c r="DE226" s="19">
        <f t="shared" si="53"/>
        <v>0</v>
      </c>
      <c r="DF226" s="19">
        <f t="shared" si="54"/>
        <v>0</v>
      </c>
      <c r="DG226" s="19">
        <f t="shared" si="55"/>
        <v>0</v>
      </c>
      <c r="DH226" s="20">
        <f t="shared" si="56"/>
        <v>0</v>
      </c>
      <c r="DI226" s="20">
        <f t="shared" si="57"/>
        <v>0</v>
      </c>
      <c r="DJ226" s="2"/>
    </row>
    <row r="227" spans="80:114" x14ac:dyDescent="0.3">
      <c r="CB227" s="18"/>
      <c r="CC227" s="19"/>
      <c r="CD227" s="19"/>
      <c r="CE227" s="19"/>
      <c r="CF227" s="19"/>
      <c r="CG227" s="19"/>
      <c r="CH227" s="19"/>
      <c r="CI227" s="20"/>
      <c r="CJ227" s="20"/>
      <c r="CN227" s="18"/>
      <c r="CO227" s="19"/>
      <c r="CP227" s="19"/>
      <c r="CQ227" s="19"/>
      <c r="CR227" s="19"/>
      <c r="CS227" s="19"/>
      <c r="CT227" s="19"/>
      <c r="CU227" s="20"/>
      <c r="CV227" s="20"/>
      <c r="DA227" s="18">
        <f t="shared" si="49"/>
        <v>0</v>
      </c>
      <c r="DB227" s="19">
        <f t="shared" si="50"/>
        <v>0</v>
      </c>
      <c r="DC227" s="19">
        <f t="shared" si="51"/>
        <v>0</v>
      </c>
      <c r="DD227" s="19">
        <f t="shared" si="52"/>
        <v>0</v>
      </c>
      <c r="DE227" s="19">
        <f t="shared" si="53"/>
        <v>0</v>
      </c>
      <c r="DF227" s="19">
        <f t="shared" si="54"/>
        <v>0</v>
      </c>
      <c r="DG227" s="19">
        <f t="shared" si="55"/>
        <v>0</v>
      </c>
      <c r="DH227" s="20">
        <f t="shared" si="56"/>
        <v>0</v>
      </c>
      <c r="DI227" s="20">
        <f t="shared" si="57"/>
        <v>0</v>
      </c>
      <c r="DJ227" s="2"/>
    </row>
    <row r="228" spans="80:114" x14ac:dyDescent="0.3">
      <c r="CB228" s="18"/>
      <c r="CC228" s="19"/>
      <c r="CD228" s="19"/>
      <c r="CE228" s="19"/>
      <c r="CF228" s="19"/>
      <c r="CG228" s="19"/>
      <c r="CH228" s="19"/>
      <c r="CI228" s="20"/>
      <c r="CJ228" s="20"/>
      <c r="CN228" s="18"/>
      <c r="CO228" s="19"/>
      <c r="CP228" s="19"/>
      <c r="CQ228" s="19"/>
      <c r="CR228" s="19"/>
      <c r="CS228" s="19"/>
      <c r="CT228" s="19"/>
      <c r="CU228" s="20"/>
      <c r="CV228" s="20"/>
      <c r="DA228" s="18">
        <f t="shared" si="49"/>
        <v>0</v>
      </c>
      <c r="DB228" s="19">
        <f t="shared" si="50"/>
        <v>0</v>
      </c>
      <c r="DC228" s="19">
        <f t="shared" si="51"/>
        <v>0</v>
      </c>
      <c r="DD228" s="19">
        <f t="shared" si="52"/>
        <v>0</v>
      </c>
      <c r="DE228" s="19">
        <f t="shared" si="53"/>
        <v>0</v>
      </c>
      <c r="DF228" s="19">
        <f t="shared" si="54"/>
        <v>0</v>
      </c>
      <c r="DG228" s="19">
        <f t="shared" si="55"/>
        <v>0</v>
      </c>
      <c r="DH228" s="20">
        <f t="shared" si="56"/>
        <v>0</v>
      </c>
      <c r="DI228" s="20">
        <f t="shared" si="57"/>
        <v>0</v>
      </c>
      <c r="DJ228" s="2"/>
    </row>
    <row r="229" spans="80:114" x14ac:dyDescent="0.3">
      <c r="CB229" s="18"/>
      <c r="CC229" s="19"/>
      <c r="CD229" s="19"/>
      <c r="CE229" s="19"/>
      <c r="CF229" s="19"/>
      <c r="CG229" s="19"/>
      <c r="CH229" s="19"/>
      <c r="CI229" s="20"/>
      <c r="CJ229" s="20"/>
      <c r="CN229" s="18"/>
      <c r="CO229" s="19"/>
      <c r="CP229" s="19"/>
      <c r="CQ229" s="19"/>
      <c r="CR229" s="19"/>
      <c r="CS229" s="19"/>
      <c r="CT229" s="19"/>
      <c r="CU229" s="20"/>
      <c r="CV229" s="20"/>
      <c r="DA229" s="18">
        <f t="shared" si="49"/>
        <v>0</v>
      </c>
      <c r="DB229" s="19">
        <f t="shared" si="50"/>
        <v>0</v>
      </c>
      <c r="DC229" s="19">
        <f t="shared" si="51"/>
        <v>0</v>
      </c>
      <c r="DD229" s="19">
        <f t="shared" si="52"/>
        <v>0</v>
      </c>
      <c r="DE229" s="19">
        <f t="shared" si="53"/>
        <v>0</v>
      </c>
      <c r="DF229" s="19">
        <f t="shared" si="54"/>
        <v>0</v>
      </c>
      <c r="DG229" s="19">
        <f t="shared" si="55"/>
        <v>0</v>
      </c>
      <c r="DH229" s="20">
        <f t="shared" si="56"/>
        <v>0</v>
      </c>
      <c r="DI229" s="20">
        <f t="shared" si="57"/>
        <v>0</v>
      </c>
      <c r="DJ229" s="2"/>
    </row>
    <row r="230" spans="80:114" x14ac:dyDescent="0.3">
      <c r="CB230" s="18"/>
      <c r="CC230" s="19"/>
      <c r="CD230" s="19"/>
      <c r="CE230" s="19"/>
      <c r="CF230" s="19"/>
      <c r="CG230" s="19"/>
      <c r="CH230" s="19"/>
      <c r="CI230" s="20"/>
      <c r="CJ230" s="20"/>
      <c r="CN230" s="18"/>
      <c r="CO230" s="19"/>
      <c r="CP230" s="19"/>
      <c r="CQ230" s="19"/>
      <c r="CR230" s="19"/>
      <c r="CS230" s="19"/>
      <c r="CT230" s="19"/>
      <c r="CU230" s="20"/>
      <c r="CV230" s="20"/>
      <c r="DA230" s="18">
        <f t="shared" si="49"/>
        <v>0</v>
      </c>
      <c r="DB230" s="19">
        <f t="shared" si="50"/>
        <v>0</v>
      </c>
      <c r="DC230" s="19">
        <f t="shared" si="51"/>
        <v>0</v>
      </c>
      <c r="DD230" s="19">
        <f t="shared" si="52"/>
        <v>0</v>
      </c>
      <c r="DE230" s="19">
        <f t="shared" si="53"/>
        <v>0</v>
      </c>
      <c r="DF230" s="19">
        <f t="shared" si="54"/>
        <v>0</v>
      </c>
      <c r="DG230" s="19">
        <f t="shared" si="55"/>
        <v>0</v>
      </c>
      <c r="DH230" s="20">
        <f t="shared" si="56"/>
        <v>0</v>
      </c>
      <c r="DI230" s="20">
        <f t="shared" si="57"/>
        <v>0</v>
      </c>
      <c r="DJ230" s="2"/>
    </row>
    <row r="231" spans="80:114" x14ac:dyDescent="0.3">
      <c r="CB231" s="18"/>
      <c r="CC231" s="19"/>
      <c r="CD231" s="19"/>
      <c r="CE231" s="19"/>
      <c r="CF231" s="19"/>
      <c r="CG231" s="19"/>
      <c r="CH231" s="19"/>
      <c r="CI231" s="20"/>
      <c r="CJ231" s="20"/>
      <c r="CN231" s="18"/>
      <c r="CO231" s="19"/>
      <c r="CP231" s="19"/>
      <c r="CQ231" s="19"/>
      <c r="CR231" s="19"/>
      <c r="CS231" s="19"/>
      <c r="CT231" s="19"/>
      <c r="CU231" s="20"/>
      <c r="CV231" s="20"/>
      <c r="DA231" s="18">
        <f t="shared" si="49"/>
        <v>0</v>
      </c>
      <c r="DB231" s="19">
        <f t="shared" si="50"/>
        <v>0</v>
      </c>
      <c r="DC231" s="19">
        <f t="shared" si="51"/>
        <v>0</v>
      </c>
      <c r="DD231" s="19">
        <f t="shared" si="52"/>
        <v>0</v>
      </c>
      <c r="DE231" s="19">
        <f t="shared" si="53"/>
        <v>0</v>
      </c>
      <c r="DF231" s="19">
        <f t="shared" si="54"/>
        <v>0</v>
      </c>
      <c r="DG231" s="19">
        <f t="shared" si="55"/>
        <v>0</v>
      </c>
      <c r="DH231" s="20">
        <f t="shared" si="56"/>
        <v>0</v>
      </c>
      <c r="DI231" s="20">
        <f t="shared" si="57"/>
        <v>0</v>
      </c>
      <c r="DJ231" s="2"/>
    </row>
    <row r="232" spans="80:114" x14ac:dyDescent="0.3">
      <c r="CB232" s="18"/>
      <c r="CC232" s="19"/>
      <c r="CD232" s="19"/>
      <c r="CE232" s="19"/>
      <c r="CF232" s="19"/>
      <c r="CG232" s="19"/>
      <c r="CH232" s="19"/>
      <c r="CI232" s="20"/>
      <c r="CJ232" s="20"/>
      <c r="CN232" s="18"/>
      <c r="CO232" s="19"/>
      <c r="CP232" s="19"/>
      <c r="CQ232" s="19"/>
      <c r="CR232" s="19"/>
      <c r="CS232" s="19"/>
      <c r="CT232" s="19"/>
      <c r="CU232" s="20"/>
      <c r="CV232" s="20"/>
      <c r="DA232" s="18">
        <f t="shared" si="49"/>
        <v>0</v>
      </c>
      <c r="DB232" s="19">
        <f t="shared" si="50"/>
        <v>0</v>
      </c>
      <c r="DC232" s="19">
        <f t="shared" si="51"/>
        <v>0</v>
      </c>
      <c r="DD232" s="19">
        <f t="shared" si="52"/>
        <v>0</v>
      </c>
      <c r="DE232" s="19">
        <f t="shared" si="53"/>
        <v>0</v>
      </c>
      <c r="DF232" s="19">
        <f t="shared" si="54"/>
        <v>0</v>
      </c>
      <c r="DG232" s="19">
        <f t="shared" si="55"/>
        <v>0</v>
      </c>
      <c r="DH232" s="20">
        <f t="shared" si="56"/>
        <v>0</v>
      </c>
      <c r="DI232" s="20">
        <f t="shared" si="57"/>
        <v>0</v>
      </c>
      <c r="DJ232" s="2"/>
    </row>
    <row r="233" spans="80:114" x14ac:dyDescent="0.3">
      <c r="CB233" s="18"/>
      <c r="CC233" s="19"/>
      <c r="CD233" s="19"/>
      <c r="CE233" s="19"/>
      <c r="CF233" s="19"/>
      <c r="CG233" s="19"/>
      <c r="CH233" s="19"/>
      <c r="CI233" s="20"/>
      <c r="CJ233" s="20"/>
      <c r="CN233" s="18"/>
      <c r="CO233" s="19"/>
      <c r="CP233" s="19"/>
      <c r="CQ233" s="19"/>
      <c r="CR233" s="19"/>
      <c r="CS233" s="19"/>
      <c r="CT233" s="19"/>
      <c r="CU233" s="20"/>
      <c r="CV233" s="20"/>
      <c r="DA233" s="18">
        <f t="shared" si="49"/>
        <v>0</v>
      </c>
      <c r="DB233" s="19">
        <f t="shared" si="50"/>
        <v>0</v>
      </c>
      <c r="DC233" s="19">
        <f t="shared" si="51"/>
        <v>0</v>
      </c>
      <c r="DD233" s="19">
        <f t="shared" si="52"/>
        <v>0</v>
      </c>
      <c r="DE233" s="19">
        <f t="shared" si="53"/>
        <v>0</v>
      </c>
      <c r="DF233" s="19">
        <f t="shared" si="54"/>
        <v>0</v>
      </c>
      <c r="DG233" s="19">
        <f t="shared" si="55"/>
        <v>0</v>
      </c>
      <c r="DH233" s="20">
        <f t="shared" si="56"/>
        <v>0</v>
      </c>
      <c r="DI233" s="20">
        <f t="shared" si="57"/>
        <v>0</v>
      </c>
      <c r="DJ233" s="2"/>
    </row>
    <row r="234" spans="80:114" x14ac:dyDescent="0.3">
      <c r="CB234" s="18"/>
      <c r="CC234" s="19"/>
      <c r="CD234" s="19"/>
      <c r="CE234" s="19"/>
      <c r="CF234" s="19"/>
      <c r="CG234" s="19"/>
      <c r="CH234" s="19"/>
      <c r="CI234" s="20"/>
      <c r="CJ234" s="20"/>
      <c r="CN234" s="18"/>
      <c r="CO234" s="19"/>
      <c r="CP234" s="19"/>
      <c r="CQ234" s="19"/>
      <c r="CR234" s="19"/>
      <c r="CS234" s="19"/>
      <c r="CT234" s="19"/>
      <c r="CU234" s="20"/>
      <c r="CV234" s="20"/>
      <c r="DA234" s="18">
        <f t="shared" si="49"/>
        <v>0</v>
      </c>
      <c r="DB234" s="19">
        <f t="shared" si="50"/>
        <v>0</v>
      </c>
      <c r="DC234" s="19">
        <f t="shared" si="51"/>
        <v>0</v>
      </c>
      <c r="DD234" s="19">
        <f t="shared" si="52"/>
        <v>0</v>
      </c>
      <c r="DE234" s="19">
        <f t="shared" si="53"/>
        <v>0</v>
      </c>
      <c r="DF234" s="19">
        <f t="shared" si="54"/>
        <v>0</v>
      </c>
      <c r="DG234" s="19">
        <f t="shared" si="55"/>
        <v>0</v>
      </c>
      <c r="DH234" s="20">
        <f t="shared" si="56"/>
        <v>0</v>
      </c>
      <c r="DI234" s="20">
        <f t="shared" si="57"/>
        <v>0</v>
      </c>
      <c r="DJ234" s="2"/>
    </row>
    <row r="235" spans="80:114" x14ac:dyDescent="0.3">
      <c r="CB235" s="18"/>
      <c r="CC235" s="19"/>
      <c r="CD235" s="19"/>
      <c r="CE235" s="19"/>
      <c r="CF235" s="19"/>
      <c r="CG235" s="19"/>
      <c r="CH235" s="19"/>
      <c r="CI235" s="20"/>
      <c r="CJ235" s="20"/>
      <c r="CN235" s="18"/>
      <c r="CO235" s="19"/>
      <c r="CP235" s="19"/>
      <c r="CQ235" s="19"/>
      <c r="CR235" s="19"/>
      <c r="CS235" s="19"/>
      <c r="CT235" s="19"/>
      <c r="CU235" s="20"/>
      <c r="CV235" s="20"/>
      <c r="DA235" s="18">
        <f t="shared" si="49"/>
        <v>0</v>
      </c>
      <c r="DB235" s="19">
        <f t="shared" si="50"/>
        <v>0</v>
      </c>
      <c r="DC235" s="19">
        <f t="shared" si="51"/>
        <v>0</v>
      </c>
      <c r="DD235" s="19">
        <f t="shared" si="52"/>
        <v>0</v>
      </c>
      <c r="DE235" s="19">
        <f t="shared" si="53"/>
        <v>0</v>
      </c>
      <c r="DF235" s="19">
        <f t="shared" si="54"/>
        <v>0</v>
      </c>
      <c r="DG235" s="19">
        <f t="shared" si="55"/>
        <v>0</v>
      </c>
      <c r="DH235" s="20">
        <f t="shared" si="56"/>
        <v>0</v>
      </c>
      <c r="DI235" s="20">
        <f t="shared" si="57"/>
        <v>0</v>
      </c>
      <c r="DJ235" s="2"/>
    </row>
    <row r="236" spans="80:114" x14ac:dyDescent="0.3">
      <c r="CB236" s="18"/>
      <c r="CC236" s="19"/>
      <c r="CD236" s="19"/>
      <c r="CE236" s="19"/>
      <c r="CF236" s="19"/>
      <c r="CG236" s="19"/>
      <c r="CH236" s="19"/>
      <c r="CI236" s="20"/>
      <c r="CJ236" s="20"/>
      <c r="CN236" s="18"/>
      <c r="CO236" s="19"/>
      <c r="CP236" s="19"/>
      <c r="CQ236" s="19"/>
      <c r="CR236" s="19"/>
      <c r="CS236" s="19"/>
      <c r="CT236" s="19"/>
      <c r="CU236" s="20"/>
      <c r="CV236" s="20"/>
      <c r="DA236" s="18">
        <f t="shared" si="49"/>
        <v>0</v>
      </c>
      <c r="DB236" s="19">
        <f t="shared" si="50"/>
        <v>0</v>
      </c>
      <c r="DC236" s="19">
        <f t="shared" si="51"/>
        <v>0</v>
      </c>
      <c r="DD236" s="19">
        <f t="shared" si="52"/>
        <v>0</v>
      </c>
      <c r="DE236" s="19">
        <f t="shared" si="53"/>
        <v>0</v>
      </c>
      <c r="DF236" s="19">
        <f t="shared" si="54"/>
        <v>0</v>
      </c>
      <c r="DG236" s="19">
        <f t="shared" si="55"/>
        <v>0</v>
      </c>
      <c r="DH236" s="20">
        <f t="shared" si="56"/>
        <v>0</v>
      </c>
      <c r="DI236" s="20">
        <f t="shared" si="57"/>
        <v>0</v>
      </c>
      <c r="DJ236" s="2"/>
    </row>
    <row r="237" spans="80:114" x14ac:dyDescent="0.3">
      <c r="CB237" s="18"/>
      <c r="CC237" s="19"/>
      <c r="CD237" s="19"/>
      <c r="CE237" s="19"/>
      <c r="CF237" s="19"/>
      <c r="CG237" s="19"/>
      <c r="CH237" s="19"/>
      <c r="CI237" s="20"/>
      <c r="CJ237" s="20"/>
      <c r="CN237" s="18"/>
      <c r="CO237" s="19"/>
      <c r="CP237" s="19"/>
      <c r="CQ237" s="19"/>
      <c r="CR237" s="19"/>
      <c r="CS237" s="19"/>
      <c r="CT237" s="19"/>
      <c r="CU237" s="20"/>
      <c r="CV237" s="20"/>
      <c r="DA237" s="18">
        <f t="shared" si="49"/>
        <v>0</v>
      </c>
      <c r="DB237" s="19">
        <f t="shared" si="50"/>
        <v>0</v>
      </c>
      <c r="DC237" s="19">
        <f t="shared" si="51"/>
        <v>0</v>
      </c>
      <c r="DD237" s="19">
        <f t="shared" si="52"/>
        <v>0</v>
      </c>
      <c r="DE237" s="19">
        <f t="shared" si="53"/>
        <v>0</v>
      </c>
      <c r="DF237" s="19">
        <f t="shared" si="54"/>
        <v>0</v>
      </c>
      <c r="DG237" s="19">
        <f t="shared" si="55"/>
        <v>0</v>
      </c>
      <c r="DH237" s="20">
        <f t="shared" si="56"/>
        <v>0</v>
      </c>
      <c r="DI237" s="20">
        <f t="shared" si="57"/>
        <v>0</v>
      </c>
      <c r="DJ237" s="2"/>
    </row>
    <row r="238" spans="80:114" x14ac:dyDescent="0.3">
      <c r="CB238" s="18"/>
      <c r="CC238" s="19"/>
      <c r="CD238" s="19"/>
      <c r="CE238" s="19"/>
      <c r="CF238" s="19"/>
      <c r="CG238" s="19"/>
      <c r="CH238" s="19"/>
      <c r="CI238" s="20"/>
      <c r="CJ238" s="20"/>
      <c r="CN238" s="18"/>
      <c r="CO238" s="19"/>
      <c r="CP238" s="19"/>
      <c r="CQ238" s="19"/>
      <c r="CR238" s="19"/>
      <c r="CS238" s="19"/>
      <c r="CT238" s="19"/>
      <c r="CU238" s="20"/>
      <c r="CV238" s="20"/>
      <c r="DA238" s="18">
        <f t="shared" si="49"/>
        <v>0</v>
      </c>
      <c r="DB238" s="19">
        <f t="shared" si="50"/>
        <v>0</v>
      </c>
      <c r="DC238" s="19">
        <f t="shared" si="51"/>
        <v>0</v>
      </c>
      <c r="DD238" s="19">
        <f t="shared" si="52"/>
        <v>0</v>
      </c>
      <c r="DE238" s="19">
        <f t="shared" si="53"/>
        <v>0</v>
      </c>
      <c r="DF238" s="19">
        <f t="shared" si="54"/>
        <v>0</v>
      </c>
      <c r="DG238" s="19">
        <f t="shared" si="55"/>
        <v>0</v>
      </c>
      <c r="DH238" s="20">
        <f t="shared" si="56"/>
        <v>0</v>
      </c>
      <c r="DI238" s="20">
        <f t="shared" si="57"/>
        <v>0</v>
      </c>
      <c r="DJ238" s="2"/>
    </row>
    <row r="239" spans="80:114" x14ac:dyDescent="0.3">
      <c r="CB239" s="18"/>
      <c r="CC239" s="19"/>
      <c r="CD239" s="19"/>
      <c r="CE239" s="19"/>
      <c r="CF239" s="19"/>
      <c r="CG239" s="19"/>
      <c r="CH239" s="19"/>
      <c r="CI239" s="20"/>
      <c r="CJ239" s="20"/>
      <c r="CN239" s="18"/>
      <c r="CO239" s="19"/>
      <c r="CP239" s="19"/>
      <c r="CQ239" s="19"/>
      <c r="CR239" s="19"/>
      <c r="CS239" s="19"/>
      <c r="CT239" s="19"/>
      <c r="CU239" s="20"/>
      <c r="CV239" s="20"/>
      <c r="DA239" s="18">
        <f t="shared" si="49"/>
        <v>0</v>
      </c>
      <c r="DB239" s="19">
        <f t="shared" si="50"/>
        <v>0</v>
      </c>
      <c r="DC239" s="19">
        <f t="shared" si="51"/>
        <v>0</v>
      </c>
      <c r="DD239" s="19">
        <f t="shared" si="52"/>
        <v>0</v>
      </c>
      <c r="DE239" s="19">
        <f t="shared" si="53"/>
        <v>0</v>
      </c>
      <c r="DF239" s="19">
        <f t="shared" si="54"/>
        <v>0</v>
      </c>
      <c r="DG239" s="19">
        <f t="shared" si="55"/>
        <v>0</v>
      </c>
      <c r="DH239" s="20">
        <f t="shared" si="56"/>
        <v>0</v>
      </c>
      <c r="DI239" s="20">
        <f t="shared" si="57"/>
        <v>0</v>
      </c>
      <c r="DJ239" s="2"/>
    </row>
    <row r="240" spans="80:114" x14ac:dyDescent="0.3">
      <c r="CB240" s="18"/>
      <c r="CC240" s="19"/>
      <c r="CD240" s="19"/>
      <c r="CE240" s="19"/>
      <c r="CF240" s="19"/>
      <c r="CG240" s="19"/>
      <c r="CH240" s="19"/>
      <c r="CI240" s="20"/>
      <c r="CJ240" s="20"/>
      <c r="CN240" s="18"/>
      <c r="CO240" s="19"/>
      <c r="CP240" s="19"/>
      <c r="CQ240" s="19"/>
      <c r="CR240" s="19"/>
      <c r="CS240" s="19"/>
      <c r="CT240" s="19"/>
      <c r="CU240" s="20"/>
      <c r="CV240" s="20"/>
      <c r="DA240" s="18">
        <f t="shared" si="49"/>
        <v>0</v>
      </c>
      <c r="DB240" s="19">
        <f t="shared" si="50"/>
        <v>0</v>
      </c>
      <c r="DC240" s="19">
        <f t="shared" si="51"/>
        <v>0</v>
      </c>
      <c r="DD240" s="19">
        <f t="shared" si="52"/>
        <v>0</v>
      </c>
      <c r="DE240" s="19">
        <f t="shared" si="53"/>
        <v>0</v>
      </c>
      <c r="DF240" s="19">
        <f t="shared" si="54"/>
        <v>0</v>
      </c>
      <c r="DG240" s="19">
        <f t="shared" si="55"/>
        <v>0</v>
      </c>
      <c r="DH240" s="20">
        <f t="shared" si="56"/>
        <v>0</v>
      </c>
      <c r="DI240" s="20">
        <f t="shared" si="57"/>
        <v>0</v>
      </c>
      <c r="DJ240" s="2"/>
    </row>
    <row r="241" spans="80:114" x14ac:dyDescent="0.3">
      <c r="CB241" s="18"/>
      <c r="CC241" s="19"/>
      <c r="CD241" s="19"/>
      <c r="CE241" s="19"/>
      <c r="CF241" s="19"/>
      <c r="CG241" s="19"/>
      <c r="CH241" s="19"/>
      <c r="CI241" s="20"/>
      <c r="CJ241" s="20"/>
      <c r="CN241" s="18"/>
      <c r="CO241" s="19"/>
      <c r="CP241" s="19"/>
      <c r="CQ241" s="19"/>
      <c r="CR241" s="19"/>
      <c r="CS241" s="19"/>
      <c r="CT241" s="19"/>
      <c r="CU241" s="20"/>
      <c r="CV241" s="20"/>
      <c r="DA241" s="18">
        <f t="shared" si="49"/>
        <v>0</v>
      </c>
      <c r="DB241" s="19">
        <f t="shared" si="50"/>
        <v>0</v>
      </c>
      <c r="DC241" s="19">
        <f t="shared" si="51"/>
        <v>0</v>
      </c>
      <c r="DD241" s="19">
        <f t="shared" si="52"/>
        <v>0</v>
      </c>
      <c r="DE241" s="19">
        <f t="shared" si="53"/>
        <v>0</v>
      </c>
      <c r="DF241" s="19">
        <f t="shared" si="54"/>
        <v>0</v>
      </c>
      <c r="DG241" s="19">
        <f t="shared" si="55"/>
        <v>0</v>
      </c>
      <c r="DH241" s="20">
        <f t="shared" si="56"/>
        <v>0</v>
      </c>
      <c r="DI241" s="20">
        <f t="shared" si="57"/>
        <v>0</v>
      </c>
      <c r="DJ241" s="2"/>
    </row>
    <row r="242" spans="80:114" x14ac:dyDescent="0.3">
      <c r="CB242" s="18"/>
      <c r="CC242" s="19"/>
      <c r="CD242" s="19"/>
      <c r="CE242" s="19"/>
      <c r="CF242" s="19"/>
      <c r="CG242" s="19"/>
      <c r="CH242" s="19"/>
      <c r="CI242" s="20"/>
      <c r="CJ242" s="20"/>
      <c r="CN242" s="18"/>
      <c r="CO242" s="19"/>
      <c r="CP242" s="19"/>
      <c r="CQ242" s="19"/>
      <c r="CR242" s="19"/>
      <c r="CS242" s="19"/>
      <c r="CT242" s="19"/>
      <c r="CU242" s="20"/>
      <c r="CV242" s="20"/>
      <c r="DA242" s="18">
        <f t="shared" si="49"/>
        <v>0</v>
      </c>
      <c r="DB242" s="19">
        <f t="shared" si="50"/>
        <v>0</v>
      </c>
      <c r="DC242" s="19">
        <f t="shared" si="51"/>
        <v>0</v>
      </c>
      <c r="DD242" s="19">
        <f t="shared" si="52"/>
        <v>0</v>
      </c>
      <c r="DE242" s="19">
        <f t="shared" si="53"/>
        <v>0</v>
      </c>
      <c r="DF242" s="19">
        <f t="shared" si="54"/>
        <v>0</v>
      </c>
      <c r="DG242" s="19">
        <f t="shared" si="55"/>
        <v>0</v>
      </c>
      <c r="DH242" s="20">
        <f t="shared" si="56"/>
        <v>0</v>
      </c>
      <c r="DI242" s="20">
        <f t="shared" si="57"/>
        <v>0</v>
      </c>
      <c r="DJ242" s="2"/>
    </row>
    <row r="243" spans="80:114" x14ac:dyDescent="0.3">
      <c r="CB243" s="18"/>
      <c r="CC243" s="19"/>
      <c r="CD243" s="19"/>
      <c r="CE243" s="19"/>
      <c r="CF243" s="19"/>
      <c r="CG243" s="19"/>
      <c r="CH243" s="19"/>
      <c r="CI243" s="20"/>
      <c r="CJ243" s="20"/>
      <c r="CN243" s="18"/>
      <c r="CO243" s="19"/>
      <c r="CP243" s="19"/>
      <c r="CQ243" s="19"/>
      <c r="CR243" s="19"/>
      <c r="CS243" s="19"/>
      <c r="CT243" s="19"/>
      <c r="CU243" s="20"/>
      <c r="CV243" s="20"/>
      <c r="DA243" s="18">
        <f t="shared" si="49"/>
        <v>0</v>
      </c>
      <c r="DB243" s="19">
        <f t="shared" si="50"/>
        <v>0</v>
      </c>
      <c r="DC243" s="19">
        <f t="shared" si="51"/>
        <v>0</v>
      </c>
      <c r="DD243" s="19">
        <f t="shared" si="52"/>
        <v>0</v>
      </c>
      <c r="DE243" s="19">
        <f t="shared" si="53"/>
        <v>0</v>
      </c>
      <c r="DF243" s="19">
        <f t="shared" si="54"/>
        <v>0</v>
      </c>
      <c r="DG243" s="19">
        <f t="shared" si="55"/>
        <v>0</v>
      </c>
      <c r="DH243" s="20">
        <f t="shared" si="56"/>
        <v>0</v>
      </c>
      <c r="DI243" s="20">
        <f t="shared" si="57"/>
        <v>0</v>
      </c>
      <c r="DJ243" s="2"/>
    </row>
    <row r="244" spans="80:114" x14ac:dyDescent="0.3">
      <c r="CB244" s="18"/>
      <c r="CC244" s="19"/>
      <c r="CD244" s="19"/>
      <c r="CE244" s="19"/>
      <c r="CF244" s="19"/>
      <c r="CG244" s="19"/>
      <c r="CH244" s="19"/>
      <c r="CI244" s="20"/>
      <c r="CJ244" s="20"/>
      <c r="CN244" s="18"/>
      <c r="CO244" s="19"/>
      <c r="CP244" s="19"/>
      <c r="CQ244" s="19"/>
      <c r="CR244" s="19"/>
      <c r="CS244" s="19"/>
      <c r="CT244" s="19"/>
      <c r="CU244" s="20"/>
      <c r="CV244" s="20"/>
      <c r="DA244" s="18">
        <f t="shared" si="49"/>
        <v>0</v>
      </c>
      <c r="DB244" s="19">
        <f t="shared" si="50"/>
        <v>0</v>
      </c>
      <c r="DC244" s="19">
        <f t="shared" si="51"/>
        <v>0</v>
      </c>
      <c r="DD244" s="19">
        <f t="shared" si="52"/>
        <v>0</v>
      </c>
      <c r="DE244" s="19">
        <f t="shared" si="53"/>
        <v>0</v>
      </c>
      <c r="DF244" s="19">
        <f t="shared" si="54"/>
        <v>0</v>
      </c>
      <c r="DG244" s="19">
        <f t="shared" si="55"/>
        <v>0</v>
      </c>
      <c r="DH244" s="20">
        <f t="shared" si="56"/>
        <v>0</v>
      </c>
      <c r="DI244" s="20">
        <f t="shared" si="57"/>
        <v>0</v>
      </c>
      <c r="DJ244" s="2"/>
    </row>
    <row r="245" spans="80:114" x14ac:dyDescent="0.3">
      <c r="CB245" s="18"/>
      <c r="CC245" s="19"/>
      <c r="CD245" s="19"/>
      <c r="CE245" s="19"/>
      <c r="CF245" s="19"/>
      <c r="CG245" s="19"/>
      <c r="CH245" s="19"/>
      <c r="CI245" s="20"/>
      <c r="CJ245" s="20"/>
      <c r="CN245" s="18"/>
      <c r="CO245" s="19"/>
      <c r="CP245" s="19"/>
      <c r="CQ245" s="19"/>
      <c r="CR245" s="19"/>
      <c r="CS245" s="19"/>
      <c r="CT245" s="19"/>
      <c r="CU245" s="20"/>
      <c r="CV245" s="20"/>
      <c r="DA245" s="18">
        <f t="shared" si="49"/>
        <v>0</v>
      </c>
      <c r="DB245" s="19">
        <f t="shared" si="50"/>
        <v>0</v>
      </c>
      <c r="DC245" s="19">
        <f t="shared" si="51"/>
        <v>0</v>
      </c>
      <c r="DD245" s="19">
        <f t="shared" si="52"/>
        <v>0</v>
      </c>
      <c r="DE245" s="19">
        <f t="shared" si="53"/>
        <v>0</v>
      </c>
      <c r="DF245" s="19">
        <f t="shared" si="54"/>
        <v>0</v>
      </c>
      <c r="DG245" s="19">
        <f t="shared" si="55"/>
        <v>0</v>
      </c>
      <c r="DH245" s="20">
        <f t="shared" si="56"/>
        <v>0</v>
      </c>
      <c r="DI245" s="20">
        <f t="shared" si="57"/>
        <v>0</v>
      </c>
      <c r="DJ245" s="2"/>
    </row>
    <row r="246" spans="80:114" x14ac:dyDescent="0.3">
      <c r="CB246" s="18"/>
      <c r="CC246" s="19"/>
      <c r="CD246" s="19"/>
      <c r="CE246" s="19"/>
      <c r="CF246" s="19"/>
      <c r="CG246" s="19"/>
      <c r="CH246" s="19"/>
      <c r="CI246" s="20"/>
      <c r="CJ246" s="20"/>
      <c r="CN246" s="18"/>
      <c r="CO246" s="19"/>
      <c r="CP246" s="19"/>
      <c r="CQ246" s="19"/>
      <c r="CR246" s="19"/>
      <c r="CS246" s="19"/>
      <c r="CT246" s="19"/>
      <c r="CU246" s="20"/>
      <c r="CV246" s="20"/>
      <c r="DA246" s="18">
        <f t="shared" si="49"/>
        <v>0</v>
      </c>
      <c r="DB246" s="19">
        <f t="shared" si="50"/>
        <v>0</v>
      </c>
      <c r="DC246" s="19">
        <f t="shared" si="51"/>
        <v>0</v>
      </c>
      <c r="DD246" s="19">
        <f t="shared" si="52"/>
        <v>0</v>
      </c>
      <c r="DE246" s="19">
        <f t="shared" si="53"/>
        <v>0</v>
      </c>
      <c r="DF246" s="19">
        <f t="shared" si="54"/>
        <v>0</v>
      </c>
      <c r="DG246" s="19">
        <f t="shared" si="55"/>
        <v>0</v>
      </c>
      <c r="DH246" s="20">
        <f t="shared" si="56"/>
        <v>0</v>
      </c>
      <c r="DI246" s="20">
        <f t="shared" si="57"/>
        <v>0</v>
      </c>
      <c r="DJ246" s="2"/>
    </row>
    <row r="247" spans="80:114" x14ac:dyDescent="0.3">
      <c r="CB247" s="18"/>
      <c r="CC247" s="19"/>
      <c r="CD247" s="19"/>
      <c r="CE247" s="19"/>
      <c r="CF247" s="19"/>
      <c r="CG247" s="19"/>
      <c r="CH247" s="19"/>
      <c r="CI247" s="20"/>
      <c r="CJ247" s="20"/>
      <c r="CN247" s="18"/>
      <c r="CO247" s="19"/>
      <c r="CP247" s="19"/>
      <c r="CQ247" s="19"/>
      <c r="CR247" s="19"/>
      <c r="CS247" s="19"/>
      <c r="CT247" s="19"/>
      <c r="CU247" s="20"/>
      <c r="CV247" s="20"/>
      <c r="DA247" s="18">
        <f t="shared" si="49"/>
        <v>0</v>
      </c>
      <c r="DB247" s="19">
        <f t="shared" si="50"/>
        <v>0</v>
      </c>
      <c r="DC247" s="19">
        <f t="shared" si="51"/>
        <v>0</v>
      </c>
      <c r="DD247" s="19">
        <f t="shared" si="52"/>
        <v>0</v>
      </c>
      <c r="DE247" s="19">
        <f t="shared" si="53"/>
        <v>0</v>
      </c>
      <c r="DF247" s="19">
        <f t="shared" si="54"/>
        <v>0</v>
      </c>
      <c r="DG247" s="19">
        <f t="shared" si="55"/>
        <v>0</v>
      </c>
      <c r="DH247" s="20">
        <f t="shared" si="56"/>
        <v>0</v>
      </c>
      <c r="DI247" s="20">
        <f t="shared" si="57"/>
        <v>0</v>
      </c>
      <c r="DJ247" s="2"/>
    </row>
    <row r="248" spans="80:114" x14ac:dyDescent="0.3">
      <c r="CB248" s="18"/>
      <c r="CC248" s="19"/>
      <c r="CD248" s="19"/>
      <c r="CE248" s="19"/>
      <c r="CF248" s="19"/>
      <c r="CG248" s="19"/>
      <c r="CH248" s="19"/>
      <c r="CI248" s="20"/>
      <c r="CJ248" s="20"/>
      <c r="CN248" s="18"/>
      <c r="CO248" s="19"/>
      <c r="CP248" s="19"/>
      <c r="CQ248" s="19"/>
      <c r="CR248" s="19"/>
      <c r="CS248" s="19"/>
      <c r="CT248" s="19"/>
      <c r="CU248" s="20"/>
      <c r="CV248" s="20"/>
      <c r="DA248" s="18">
        <f t="shared" si="49"/>
        <v>0</v>
      </c>
      <c r="DB248" s="19">
        <f t="shared" si="50"/>
        <v>0</v>
      </c>
      <c r="DC248" s="19">
        <f t="shared" si="51"/>
        <v>0</v>
      </c>
      <c r="DD248" s="19">
        <f t="shared" si="52"/>
        <v>0</v>
      </c>
      <c r="DE248" s="19">
        <f t="shared" si="53"/>
        <v>0</v>
      </c>
      <c r="DF248" s="19">
        <f t="shared" si="54"/>
        <v>0</v>
      </c>
      <c r="DG248" s="19">
        <f t="shared" si="55"/>
        <v>0</v>
      </c>
      <c r="DH248" s="20">
        <f t="shared" si="56"/>
        <v>0</v>
      </c>
      <c r="DI248" s="20">
        <f t="shared" si="57"/>
        <v>0</v>
      </c>
      <c r="DJ248" s="2"/>
    </row>
    <row r="249" spans="80:114" x14ac:dyDescent="0.3">
      <c r="CB249" s="18"/>
      <c r="CC249" s="19"/>
      <c r="CD249" s="19"/>
      <c r="CE249" s="19"/>
      <c r="CF249" s="19"/>
      <c r="CG249" s="19"/>
      <c r="CH249" s="19"/>
      <c r="CI249" s="20"/>
      <c r="CJ249" s="20"/>
      <c r="CN249" s="18"/>
      <c r="CO249" s="19"/>
      <c r="CP249" s="19"/>
      <c r="CQ249" s="19"/>
      <c r="CR249" s="19"/>
      <c r="CS249" s="19"/>
      <c r="CT249" s="19"/>
      <c r="CU249" s="20"/>
      <c r="CV249" s="20"/>
      <c r="DA249" s="18">
        <f t="shared" si="49"/>
        <v>0</v>
      </c>
      <c r="DB249" s="19">
        <f t="shared" si="50"/>
        <v>0</v>
      </c>
      <c r="DC249" s="19">
        <f t="shared" si="51"/>
        <v>0</v>
      </c>
      <c r="DD249" s="19">
        <f t="shared" si="52"/>
        <v>0</v>
      </c>
      <c r="DE249" s="19">
        <f t="shared" si="53"/>
        <v>0</v>
      </c>
      <c r="DF249" s="19">
        <f t="shared" si="54"/>
        <v>0</v>
      </c>
      <c r="DG249" s="19">
        <f t="shared" si="55"/>
        <v>0</v>
      </c>
      <c r="DH249" s="20">
        <f t="shared" si="56"/>
        <v>0</v>
      </c>
      <c r="DI249" s="20">
        <f t="shared" si="57"/>
        <v>0</v>
      </c>
      <c r="DJ249" s="2"/>
    </row>
    <row r="250" spans="80:114" x14ac:dyDescent="0.3">
      <c r="CB250" s="18"/>
      <c r="CC250" s="19"/>
      <c r="CD250" s="19"/>
      <c r="CE250" s="19"/>
      <c r="CF250" s="19"/>
      <c r="CG250" s="19"/>
      <c r="CH250" s="19"/>
      <c r="CI250" s="20"/>
      <c r="CJ250" s="20"/>
      <c r="CN250" s="18"/>
      <c r="CO250" s="19"/>
      <c r="CP250" s="19"/>
      <c r="CQ250" s="19"/>
      <c r="CR250" s="19"/>
      <c r="CS250" s="19"/>
      <c r="CT250" s="19"/>
      <c r="CU250" s="20"/>
      <c r="CV250" s="20"/>
      <c r="DA250" s="18">
        <f t="shared" si="49"/>
        <v>0</v>
      </c>
      <c r="DB250" s="19">
        <f t="shared" si="50"/>
        <v>0</v>
      </c>
      <c r="DC250" s="19">
        <f t="shared" si="51"/>
        <v>0</v>
      </c>
      <c r="DD250" s="19">
        <f t="shared" si="52"/>
        <v>0</v>
      </c>
      <c r="DE250" s="19">
        <f t="shared" si="53"/>
        <v>0</v>
      </c>
      <c r="DF250" s="19">
        <f t="shared" si="54"/>
        <v>0</v>
      </c>
      <c r="DG250" s="19">
        <f t="shared" si="55"/>
        <v>0</v>
      </c>
      <c r="DH250" s="20">
        <f t="shared" si="56"/>
        <v>0</v>
      </c>
      <c r="DI250" s="20">
        <f t="shared" si="57"/>
        <v>0</v>
      </c>
      <c r="DJ250" s="2"/>
    </row>
    <row r="251" spans="80:114" x14ac:dyDescent="0.3">
      <c r="CB251" s="18"/>
      <c r="CC251" s="19"/>
      <c r="CD251" s="19"/>
      <c r="CE251" s="19"/>
      <c r="CF251" s="19"/>
      <c r="CG251" s="19"/>
      <c r="CH251" s="19"/>
      <c r="CI251" s="20"/>
      <c r="CJ251" s="20"/>
      <c r="CN251" s="18"/>
      <c r="CO251" s="19"/>
      <c r="CP251" s="19"/>
      <c r="CQ251" s="19"/>
      <c r="CR251" s="19"/>
      <c r="CS251" s="19"/>
      <c r="CT251" s="19"/>
      <c r="CU251" s="20"/>
      <c r="CV251" s="20"/>
      <c r="DA251" s="18">
        <f t="shared" si="49"/>
        <v>0</v>
      </c>
      <c r="DB251" s="19">
        <f t="shared" si="50"/>
        <v>0</v>
      </c>
      <c r="DC251" s="19">
        <f t="shared" si="51"/>
        <v>0</v>
      </c>
      <c r="DD251" s="19">
        <f t="shared" si="52"/>
        <v>0</v>
      </c>
      <c r="DE251" s="19">
        <f t="shared" si="53"/>
        <v>0</v>
      </c>
      <c r="DF251" s="19">
        <f t="shared" si="54"/>
        <v>0</v>
      </c>
      <c r="DG251" s="19">
        <f t="shared" si="55"/>
        <v>0</v>
      </c>
      <c r="DH251" s="20">
        <f t="shared" si="56"/>
        <v>0</v>
      </c>
      <c r="DI251" s="20">
        <f t="shared" si="57"/>
        <v>0</v>
      </c>
      <c r="DJ251" s="2"/>
    </row>
    <row r="252" spans="80:114" x14ac:dyDescent="0.3">
      <c r="CB252" s="18"/>
      <c r="CC252" s="19"/>
      <c r="CD252" s="19"/>
      <c r="CE252" s="19"/>
      <c r="CF252" s="19"/>
      <c r="CG252" s="19"/>
      <c r="CH252" s="19"/>
      <c r="CI252" s="20"/>
      <c r="CJ252" s="20"/>
      <c r="CN252" s="18"/>
      <c r="CO252" s="19"/>
      <c r="CP252" s="19"/>
      <c r="CQ252" s="19"/>
      <c r="CR252" s="19"/>
      <c r="CS252" s="19"/>
      <c r="CT252" s="19"/>
      <c r="CU252" s="20"/>
      <c r="CV252" s="20"/>
      <c r="DA252" s="18">
        <f t="shared" si="49"/>
        <v>0</v>
      </c>
      <c r="DB252" s="19">
        <f t="shared" si="50"/>
        <v>0</v>
      </c>
      <c r="DC252" s="19">
        <f t="shared" si="51"/>
        <v>0</v>
      </c>
      <c r="DD252" s="19">
        <f t="shared" si="52"/>
        <v>0</v>
      </c>
      <c r="DE252" s="19">
        <f t="shared" si="53"/>
        <v>0</v>
      </c>
      <c r="DF252" s="19">
        <f t="shared" si="54"/>
        <v>0</v>
      </c>
      <c r="DG252" s="19">
        <f t="shared" si="55"/>
        <v>0</v>
      </c>
      <c r="DH252" s="20">
        <f t="shared" si="56"/>
        <v>0</v>
      </c>
      <c r="DI252" s="20">
        <f t="shared" si="57"/>
        <v>0</v>
      </c>
      <c r="DJ252" s="2"/>
    </row>
    <row r="253" spans="80:114" x14ac:dyDescent="0.3">
      <c r="CB253" s="18"/>
      <c r="CC253" s="19"/>
      <c r="CD253" s="19"/>
      <c r="CE253" s="19"/>
      <c r="CF253" s="19"/>
      <c r="CG253" s="19"/>
      <c r="CH253" s="19"/>
      <c r="CI253" s="20"/>
      <c r="CJ253" s="20"/>
      <c r="CN253" s="18"/>
      <c r="CO253" s="19"/>
      <c r="CP253" s="19"/>
      <c r="CQ253" s="19"/>
      <c r="CR253" s="19"/>
      <c r="CS253" s="19"/>
      <c r="CT253" s="19"/>
      <c r="CU253" s="20"/>
      <c r="CV253" s="20"/>
      <c r="DA253" s="18">
        <f t="shared" si="49"/>
        <v>0</v>
      </c>
      <c r="DB253" s="19">
        <f t="shared" si="50"/>
        <v>0</v>
      </c>
      <c r="DC253" s="19">
        <f t="shared" si="51"/>
        <v>0</v>
      </c>
      <c r="DD253" s="19">
        <f t="shared" si="52"/>
        <v>0</v>
      </c>
      <c r="DE253" s="19">
        <f t="shared" si="53"/>
        <v>0</v>
      </c>
      <c r="DF253" s="19">
        <f t="shared" si="54"/>
        <v>0</v>
      </c>
      <c r="DG253" s="19">
        <f t="shared" si="55"/>
        <v>0</v>
      </c>
      <c r="DH253" s="20">
        <f t="shared" si="56"/>
        <v>0</v>
      </c>
      <c r="DI253" s="20">
        <f t="shared" si="57"/>
        <v>0</v>
      </c>
      <c r="DJ253" s="2"/>
    </row>
    <row r="254" spans="80:114" x14ac:dyDescent="0.3">
      <c r="CB254" s="18"/>
      <c r="CC254" s="19"/>
      <c r="CD254" s="19"/>
      <c r="CE254" s="19"/>
      <c r="CF254" s="19"/>
      <c r="CG254" s="19"/>
      <c r="CH254" s="19"/>
      <c r="CI254" s="20"/>
      <c r="CJ254" s="20"/>
      <c r="CN254" s="18"/>
      <c r="CO254" s="19"/>
      <c r="CP254" s="19"/>
      <c r="CQ254" s="19"/>
      <c r="CR254" s="19"/>
      <c r="CS254" s="19"/>
      <c r="CT254" s="19"/>
      <c r="CU254" s="20"/>
      <c r="CV254" s="20"/>
      <c r="DA254" s="18">
        <f t="shared" si="49"/>
        <v>0</v>
      </c>
      <c r="DB254" s="19">
        <f t="shared" si="50"/>
        <v>0</v>
      </c>
      <c r="DC254" s="19">
        <f t="shared" si="51"/>
        <v>0</v>
      </c>
      <c r="DD254" s="19">
        <f t="shared" si="52"/>
        <v>0</v>
      </c>
      <c r="DE254" s="19">
        <f t="shared" si="53"/>
        <v>0</v>
      </c>
      <c r="DF254" s="19">
        <f t="shared" si="54"/>
        <v>0</v>
      </c>
      <c r="DG254" s="19">
        <f t="shared" si="55"/>
        <v>0</v>
      </c>
      <c r="DH254" s="20">
        <f t="shared" si="56"/>
        <v>0</v>
      </c>
      <c r="DI254" s="20">
        <f t="shared" si="57"/>
        <v>0</v>
      </c>
      <c r="DJ254" s="2"/>
    </row>
    <row r="255" spans="80:114" x14ac:dyDescent="0.3">
      <c r="CB255" s="18"/>
      <c r="CC255" s="19"/>
      <c r="CD255" s="19"/>
      <c r="CE255" s="19"/>
      <c r="CF255" s="19"/>
      <c r="CG255" s="19"/>
      <c r="CH255" s="19"/>
      <c r="CI255" s="20"/>
      <c r="CJ255" s="20"/>
      <c r="CN255" s="18"/>
      <c r="CO255" s="19"/>
      <c r="CP255" s="19"/>
      <c r="CQ255" s="19"/>
      <c r="CR255" s="19"/>
      <c r="CS255" s="19"/>
      <c r="CT255" s="19"/>
      <c r="CU255" s="20"/>
      <c r="CV255" s="20"/>
      <c r="DA255" s="18">
        <f t="shared" si="49"/>
        <v>0</v>
      </c>
      <c r="DB255" s="19">
        <f t="shared" si="50"/>
        <v>0</v>
      </c>
      <c r="DC255" s="19">
        <f t="shared" si="51"/>
        <v>0</v>
      </c>
      <c r="DD255" s="19">
        <f t="shared" si="52"/>
        <v>0</v>
      </c>
      <c r="DE255" s="19">
        <f t="shared" si="53"/>
        <v>0</v>
      </c>
      <c r="DF255" s="19">
        <f t="shared" si="54"/>
        <v>0</v>
      </c>
      <c r="DG255" s="19">
        <f t="shared" si="55"/>
        <v>0</v>
      </c>
      <c r="DH255" s="20">
        <f t="shared" si="56"/>
        <v>0</v>
      </c>
      <c r="DI255" s="20">
        <f t="shared" si="57"/>
        <v>0</v>
      </c>
      <c r="DJ255" s="2"/>
    </row>
    <row r="256" spans="80:114" x14ac:dyDescent="0.3">
      <c r="CB256" s="18"/>
      <c r="CC256" s="19"/>
      <c r="CD256" s="19"/>
      <c r="CE256" s="19"/>
      <c r="CF256" s="19"/>
      <c r="CG256" s="19"/>
      <c r="CH256" s="19"/>
      <c r="CI256" s="20"/>
      <c r="CJ256" s="20"/>
      <c r="CN256" s="18"/>
      <c r="CO256" s="19"/>
      <c r="CP256" s="19"/>
      <c r="CQ256" s="19"/>
      <c r="CR256" s="19"/>
      <c r="CS256" s="19"/>
      <c r="CT256" s="19"/>
      <c r="CU256" s="20"/>
      <c r="CV256" s="20"/>
      <c r="DA256" s="18">
        <f t="shared" si="49"/>
        <v>0</v>
      </c>
      <c r="DB256" s="19">
        <f t="shared" si="50"/>
        <v>0</v>
      </c>
      <c r="DC256" s="19">
        <f t="shared" si="51"/>
        <v>0</v>
      </c>
      <c r="DD256" s="19">
        <f t="shared" si="52"/>
        <v>0</v>
      </c>
      <c r="DE256" s="19">
        <f t="shared" si="53"/>
        <v>0</v>
      </c>
      <c r="DF256" s="19">
        <f t="shared" si="54"/>
        <v>0</v>
      </c>
      <c r="DG256" s="19">
        <f t="shared" si="55"/>
        <v>0</v>
      </c>
      <c r="DH256" s="20">
        <f t="shared" si="56"/>
        <v>0</v>
      </c>
      <c r="DI256" s="20">
        <f t="shared" si="57"/>
        <v>0</v>
      </c>
      <c r="DJ256" s="2"/>
    </row>
    <row r="257" spans="80:114" x14ac:dyDescent="0.3">
      <c r="CB257" s="18"/>
      <c r="CC257" s="19"/>
      <c r="CD257" s="19"/>
      <c r="CE257" s="19"/>
      <c r="CF257" s="19"/>
      <c r="CG257" s="19"/>
      <c r="CH257" s="19"/>
      <c r="CI257" s="20"/>
      <c r="CJ257" s="20"/>
      <c r="CN257" s="18"/>
      <c r="CO257" s="19"/>
      <c r="CP257" s="19"/>
      <c r="CQ257" s="19"/>
      <c r="CR257" s="19"/>
      <c r="CS257" s="19"/>
      <c r="CT257" s="19"/>
      <c r="CU257" s="20"/>
      <c r="CV257" s="20"/>
      <c r="DA257" s="18">
        <f t="shared" si="49"/>
        <v>0</v>
      </c>
      <c r="DB257" s="19">
        <f t="shared" si="50"/>
        <v>0</v>
      </c>
      <c r="DC257" s="19">
        <f t="shared" si="51"/>
        <v>0</v>
      </c>
      <c r="DD257" s="19">
        <f t="shared" si="52"/>
        <v>0</v>
      </c>
      <c r="DE257" s="19">
        <f t="shared" si="53"/>
        <v>0</v>
      </c>
      <c r="DF257" s="19">
        <f t="shared" si="54"/>
        <v>0</v>
      </c>
      <c r="DG257" s="19">
        <f t="shared" si="55"/>
        <v>0</v>
      </c>
      <c r="DH257" s="20">
        <f t="shared" si="56"/>
        <v>0</v>
      </c>
      <c r="DI257" s="20">
        <f t="shared" si="57"/>
        <v>0</v>
      </c>
      <c r="DJ257" s="2"/>
    </row>
    <row r="258" spans="80:114" x14ac:dyDescent="0.3">
      <c r="CB258" s="18"/>
      <c r="CC258" s="19"/>
      <c r="CD258" s="19"/>
      <c r="CE258" s="19"/>
      <c r="CF258" s="19"/>
      <c r="CG258" s="19"/>
      <c r="CH258" s="19"/>
      <c r="CI258" s="20"/>
      <c r="CJ258" s="20"/>
      <c r="CN258" s="18"/>
      <c r="CO258" s="19"/>
      <c r="CP258" s="19"/>
      <c r="CQ258" s="19"/>
      <c r="CR258" s="19"/>
      <c r="CS258" s="19"/>
      <c r="CT258" s="19"/>
      <c r="CU258" s="20"/>
      <c r="CV258" s="20"/>
      <c r="DA258" s="18">
        <f t="shared" si="49"/>
        <v>0</v>
      </c>
      <c r="DB258" s="19">
        <f t="shared" si="50"/>
        <v>0</v>
      </c>
      <c r="DC258" s="19">
        <f t="shared" si="51"/>
        <v>0</v>
      </c>
      <c r="DD258" s="19">
        <f t="shared" si="52"/>
        <v>0</v>
      </c>
      <c r="DE258" s="19">
        <f t="shared" si="53"/>
        <v>0</v>
      </c>
      <c r="DF258" s="19">
        <f t="shared" si="54"/>
        <v>0</v>
      </c>
      <c r="DG258" s="19">
        <f t="shared" si="55"/>
        <v>0</v>
      </c>
      <c r="DH258" s="20">
        <f t="shared" si="56"/>
        <v>0</v>
      </c>
      <c r="DI258" s="20">
        <f t="shared" si="57"/>
        <v>0</v>
      </c>
      <c r="DJ258" s="2"/>
    </row>
    <row r="259" spans="80:114" x14ac:dyDescent="0.3">
      <c r="CB259" s="18"/>
      <c r="CC259" s="19"/>
      <c r="CD259" s="19"/>
      <c r="CE259" s="19"/>
      <c r="CF259" s="19"/>
      <c r="CG259" s="19"/>
      <c r="CH259" s="19"/>
      <c r="CI259" s="20"/>
      <c r="CJ259" s="20"/>
      <c r="CN259" s="18"/>
      <c r="CO259" s="19"/>
      <c r="CP259" s="19"/>
      <c r="CQ259" s="19"/>
      <c r="CR259" s="19"/>
      <c r="CS259" s="19"/>
      <c r="CT259" s="19"/>
      <c r="CU259" s="20"/>
      <c r="CV259" s="20"/>
      <c r="DA259" s="18">
        <f t="shared" ref="DA259:DA322" si="58">IF($BZ$2=1,CN259,CB259)</f>
        <v>0</v>
      </c>
      <c r="DB259" s="19">
        <f t="shared" ref="DB259:DB322" si="59">IF($BZ$2=1,CO259,CC259)</f>
        <v>0</v>
      </c>
      <c r="DC259" s="19">
        <f t="shared" ref="DC259:DC322" si="60">IF($BZ$2=1,CP259,CD259)</f>
        <v>0</v>
      </c>
      <c r="DD259" s="19">
        <f t="shared" ref="DD259:DD322" si="61">IF($BZ$2=1,CQ259,CE259)</f>
        <v>0</v>
      </c>
      <c r="DE259" s="19">
        <f t="shared" ref="DE259:DE322" si="62">IF($BZ$2=1,CR259,CF259)</f>
        <v>0</v>
      </c>
      <c r="DF259" s="19">
        <f t="shared" ref="DF259:DF322" si="63">IF($BZ$2=1,CS259,CG259)</f>
        <v>0</v>
      </c>
      <c r="DG259" s="19">
        <f t="shared" ref="DG259:DG322" si="64">IF($BZ$2=1,CT259,CH259)</f>
        <v>0</v>
      </c>
      <c r="DH259" s="20">
        <f t="shared" ref="DH259:DH322" si="65">IF($BZ$2=1,CU259,CI259)</f>
        <v>0</v>
      </c>
      <c r="DI259" s="20">
        <f t="shared" ref="DI259:DI322" si="66">IF($BZ$2=1,CV259,CJ259)</f>
        <v>0</v>
      </c>
      <c r="DJ259" s="2"/>
    </row>
    <row r="260" spans="80:114" x14ac:dyDescent="0.3">
      <c r="CB260" s="18"/>
      <c r="CC260" s="19"/>
      <c r="CD260" s="19"/>
      <c r="CE260" s="19"/>
      <c r="CF260" s="19"/>
      <c r="CG260" s="19"/>
      <c r="CH260" s="19"/>
      <c r="CI260" s="20"/>
      <c r="CJ260" s="20"/>
      <c r="CN260" s="18"/>
      <c r="CO260" s="19"/>
      <c r="CP260" s="19"/>
      <c r="CQ260" s="19"/>
      <c r="CR260" s="19"/>
      <c r="CS260" s="19"/>
      <c r="CT260" s="19"/>
      <c r="CU260" s="20"/>
      <c r="CV260" s="20"/>
      <c r="DA260" s="18">
        <f t="shared" si="58"/>
        <v>0</v>
      </c>
      <c r="DB260" s="19">
        <f t="shared" si="59"/>
        <v>0</v>
      </c>
      <c r="DC260" s="19">
        <f t="shared" si="60"/>
        <v>0</v>
      </c>
      <c r="DD260" s="19">
        <f t="shared" si="61"/>
        <v>0</v>
      </c>
      <c r="DE260" s="19">
        <f t="shared" si="62"/>
        <v>0</v>
      </c>
      <c r="DF260" s="19">
        <f t="shared" si="63"/>
        <v>0</v>
      </c>
      <c r="DG260" s="19">
        <f t="shared" si="64"/>
        <v>0</v>
      </c>
      <c r="DH260" s="20">
        <f t="shared" si="65"/>
        <v>0</v>
      </c>
      <c r="DI260" s="20">
        <f t="shared" si="66"/>
        <v>0</v>
      </c>
      <c r="DJ260" s="2"/>
    </row>
    <row r="261" spans="80:114" x14ac:dyDescent="0.3">
      <c r="CB261" s="18"/>
      <c r="CC261" s="19"/>
      <c r="CD261" s="19"/>
      <c r="CE261" s="19"/>
      <c r="CF261" s="19"/>
      <c r="CG261" s="19"/>
      <c r="CH261" s="19"/>
      <c r="CI261" s="20"/>
      <c r="CJ261" s="20"/>
      <c r="CN261" s="18"/>
      <c r="CO261" s="19"/>
      <c r="CP261" s="19"/>
      <c r="CQ261" s="19"/>
      <c r="CR261" s="19"/>
      <c r="CS261" s="19"/>
      <c r="CT261" s="19"/>
      <c r="CU261" s="20"/>
      <c r="CV261" s="20"/>
      <c r="DA261" s="18">
        <f t="shared" si="58"/>
        <v>0</v>
      </c>
      <c r="DB261" s="19">
        <f t="shared" si="59"/>
        <v>0</v>
      </c>
      <c r="DC261" s="19">
        <f t="shared" si="60"/>
        <v>0</v>
      </c>
      <c r="DD261" s="19">
        <f t="shared" si="61"/>
        <v>0</v>
      </c>
      <c r="DE261" s="19">
        <f t="shared" si="62"/>
        <v>0</v>
      </c>
      <c r="DF261" s="19">
        <f t="shared" si="63"/>
        <v>0</v>
      </c>
      <c r="DG261" s="19">
        <f t="shared" si="64"/>
        <v>0</v>
      </c>
      <c r="DH261" s="20">
        <f t="shared" si="65"/>
        <v>0</v>
      </c>
      <c r="DI261" s="20">
        <f t="shared" si="66"/>
        <v>0</v>
      </c>
      <c r="DJ261" s="2"/>
    </row>
    <row r="262" spans="80:114" x14ac:dyDescent="0.3">
      <c r="CB262" s="18"/>
      <c r="CC262" s="19"/>
      <c r="CD262" s="19"/>
      <c r="CE262" s="19"/>
      <c r="CF262" s="19"/>
      <c r="CG262" s="19"/>
      <c r="CH262" s="19"/>
      <c r="CI262" s="20"/>
      <c r="CJ262" s="20"/>
      <c r="CN262" s="18"/>
      <c r="CO262" s="19"/>
      <c r="CP262" s="19"/>
      <c r="CQ262" s="19"/>
      <c r="CR262" s="19"/>
      <c r="CS262" s="19"/>
      <c r="CT262" s="19"/>
      <c r="CU262" s="20"/>
      <c r="CV262" s="20"/>
      <c r="DA262" s="18">
        <f t="shared" si="58"/>
        <v>0</v>
      </c>
      <c r="DB262" s="19">
        <f t="shared" si="59"/>
        <v>0</v>
      </c>
      <c r="DC262" s="19">
        <f t="shared" si="60"/>
        <v>0</v>
      </c>
      <c r="DD262" s="19">
        <f t="shared" si="61"/>
        <v>0</v>
      </c>
      <c r="DE262" s="19">
        <f t="shared" si="62"/>
        <v>0</v>
      </c>
      <c r="DF262" s="19">
        <f t="shared" si="63"/>
        <v>0</v>
      </c>
      <c r="DG262" s="19">
        <f t="shared" si="64"/>
        <v>0</v>
      </c>
      <c r="DH262" s="20">
        <f t="shared" si="65"/>
        <v>0</v>
      </c>
      <c r="DI262" s="20">
        <f t="shared" si="66"/>
        <v>0</v>
      </c>
      <c r="DJ262" s="2"/>
    </row>
    <row r="263" spans="80:114" x14ac:dyDescent="0.3">
      <c r="CB263" s="18"/>
      <c r="CC263" s="19"/>
      <c r="CD263" s="19"/>
      <c r="CE263" s="19"/>
      <c r="CF263" s="19"/>
      <c r="CG263" s="19"/>
      <c r="CH263" s="19"/>
      <c r="CI263" s="20"/>
      <c r="CJ263" s="20"/>
      <c r="CN263" s="18"/>
      <c r="CO263" s="19"/>
      <c r="CP263" s="19"/>
      <c r="CQ263" s="19"/>
      <c r="CR263" s="19"/>
      <c r="CS263" s="19"/>
      <c r="CT263" s="19"/>
      <c r="CU263" s="20"/>
      <c r="CV263" s="20"/>
      <c r="DA263" s="18">
        <f t="shared" si="58"/>
        <v>0</v>
      </c>
      <c r="DB263" s="19">
        <f t="shared" si="59"/>
        <v>0</v>
      </c>
      <c r="DC263" s="19">
        <f t="shared" si="60"/>
        <v>0</v>
      </c>
      <c r="DD263" s="19">
        <f t="shared" si="61"/>
        <v>0</v>
      </c>
      <c r="DE263" s="19">
        <f t="shared" si="62"/>
        <v>0</v>
      </c>
      <c r="DF263" s="19">
        <f t="shared" si="63"/>
        <v>0</v>
      </c>
      <c r="DG263" s="19">
        <f t="shared" si="64"/>
        <v>0</v>
      </c>
      <c r="DH263" s="20">
        <f t="shared" si="65"/>
        <v>0</v>
      </c>
      <c r="DI263" s="20">
        <f t="shared" si="66"/>
        <v>0</v>
      </c>
      <c r="DJ263" s="2"/>
    </row>
    <row r="264" spans="80:114" x14ac:dyDescent="0.3">
      <c r="CB264" s="18"/>
      <c r="CC264" s="19"/>
      <c r="CD264" s="19"/>
      <c r="CE264" s="19"/>
      <c r="CF264" s="19"/>
      <c r="CG264" s="19"/>
      <c r="CH264" s="19"/>
      <c r="CI264" s="20"/>
      <c r="CJ264" s="20"/>
      <c r="CN264" s="18"/>
      <c r="CO264" s="19"/>
      <c r="CP264" s="19"/>
      <c r="CQ264" s="19"/>
      <c r="CR264" s="19"/>
      <c r="CS264" s="19"/>
      <c r="CT264" s="19"/>
      <c r="CU264" s="20"/>
      <c r="CV264" s="20"/>
      <c r="DA264" s="18">
        <f t="shared" si="58"/>
        <v>0</v>
      </c>
      <c r="DB264" s="19">
        <f t="shared" si="59"/>
        <v>0</v>
      </c>
      <c r="DC264" s="19">
        <f t="shared" si="60"/>
        <v>0</v>
      </c>
      <c r="DD264" s="19">
        <f t="shared" si="61"/>
        <v>0</v>
      </c>
      <c r="DE264" s="19">
        <f t="shared" si="62"/>
        <v>0</v>
      </c>
      <c r="DF264" s="19">
        <f t="shared" si="63"/>
        <v>0</v>
      </c>
      <c r="DG264" s="19">
        <f t="shared" si="64"/>
        <v>0</v>
      </c>
      <c r="DH264" s="20">
        <f t="shared" si="65"/>
        <v>0</v>
      </c>
      <c r="DI264" s="20">
        <f t="shared" si="66"/>
        <v>0</v>
      </c>
      <c r="DJ264" s="2"/>
    </row>
    <row r="265" spans="80:114" x14ac:dyDescent="0.3">
      <c r="CB265" s="18"/>
      <c r="CC265" s="19"/>
      <c r="CD265" s="19"/>
      <c r="CE265" s="19"/>
      <c r="CF265" s="19"/>
      <c r="CG265" s="19"/>
      <c r="CH265" s="19"/>
      <c r="CI265" s="20"/>
      <c r="CJ265" s="20"/>
      <c r="CN265" s="18"/>
      <c r="CO265" s="19"/>
      <c r="CP265" s="19"/>
      <c r="CQ265" s="19"/>
      <c r="CR265" s="19"/>
      <c r="CS265" s="19"/>
      <c r="CT265" s="19"/>
      <c r="CU265" s="20"/>
      <c r="CV265" s="20"/>
      <c r="DA265" s="18">
        <f t="shared" si="58"/>
        <v>0</v>
      </c>
      <c r="DB265" s="19">
        <f t="shared" si="59"/>
        <v>0</v>
      </c>
      <c r="DC265" s="19">
        <f t="shared" si="60"/>
        <v>0</v>
      </c>
      <c r="DD265" s="19">
        <f t="shared" si="61"/>
        <v>0</v>
      </c>
      <c r="DE265" s="19">
        <f t="shared" si="62"/>
        <v>0</v>
      </c>
      <c r="DF265" s="19">
        <f t="shared" si="63"/>
        <v>0</v>
      </c>
      <c r="DG265" s="19">
        <f t="shared" si="64"/>
        <v>0</v>
      </c>
      <c r="DH265" s="20">
        <f t="shared" si="65"/>
        <v>0</v>
      </c>
      <c r="DI265" s="20">
        <f t="shared" si="66"/>
        <v>0</v>
      </c>
      <c r="DJ265" s="2"/>
    </row>
    <row r="266" spans="80:114" x14ac:dyDescent="0.3">
      <c r="CB266" s="18"/>
      <c r="CC266" s="19"/>
      <c r="CD266" s="19"/>
      <c r="CE266" s="19"/>
      <c r="CF266" s="19"/>
      <c r="CG266" s="19"/>
      <c r="CH266" s="19"/>
      <c r="CI266" s="20"/>
      <c r="CJ266" s="20"/>
      <c r="CN266" s="18"/>
      <c r="CO266" s="19"/>
      <c r="CP266" s="19"/>
      <c r="CQ266" s="19"/>
      <c r="CR266" s="19"/>
      <c r="CS266" s="19"/>
      <c r="CT266" s="19"/>
      <c r="CU266" s="20"/>
      <c r="CV266" s="20"/>
      <c r="DA266" s="18">
        <f t="shared" si="58"/>
        <v>0</v>
      </c>
      <c r="DB266" s="19">
        <f t="shared" si="59"/>
        <v>0</v>
      </c>
      <c r="DC266" s="19">
        <f t="shared" si="60"/>
        <v>0</v>
      </c>
      <c r="DD266" s="19">
        <f t="shared" si="61"/>
        <v>0</v>
      </c>
      <c r="DE266" s="19">
        <f t="shared" si="62"/>
        <v>0</v>
      </c>
      <c r="DF266" s="19">
        <f t="shared" si="63"/>
        <v>0</v>
      </c>
      <c r="DG266" s="19">
        <f t="shared" si="64"/>
        <v>0</v>
      </c>
      <c r="DH266" s="20">
        <f t="shared" si="65"/>
        <v>0</v>
      </c>
      <c r="DI266" s="20">
        <f t="shared" si="66"/>
        <v>0</v>
      </c>
      <c r="DJ266" s="2"/>
    </row>
    <row r="267" spans="80:114" x14ac:dyDescent="0.3">
      <c r="CB267" s="18"/>
      <c r="CC267" s="19"/>
      <c r="CD267" s="19"/>
      <c r="CE267" s="19"/>
      <c r="CF267" s="19"/>
      <c r="CG267" s="19"/>
      <c r="CH267" s="19"/>
      <c r="CI267" s="20"/>
      <c r="CJ267" s="20"/>
      <c r="CN267" s="18"/>
      <c r="CO267" s="19"/>
      <c r="CP267" s="19"/>
      <c r="CQ267" s="19"/>
      <c r="CR267" s="19"/>
      <c r="CS267" s="19"/>
      <c r="CT267" s="19"/>
      <c r="CU267" s="20"/>
      <c r="CV267" s="20"/>
      <c r="DA267" s="18">
        <f t="shared" si="58"/>
        <v>0</v>
      </c>
      <c r="DB267" s="19">
        <f t="shared" si="59"/>
        <v>0</v>
      </c>
      <c r="DC267" s="19">
        <f t="shared" si="60"/>
        <v>0</v>
      </c>
      <c r="DD267" s="19">
        <f t="shared" si="61"/>
        <v>0</v>
      </c>
      <c r="DE267" s="19">
        <f t="shared" si="62"/>
        <v>0</v>
      </c>
      <c r="DF267" s="19">
        <f t="shared" si="63"/>
        <v>0</v>
      </c>
      <c r="DG267" s="19">
        <f t="shared" si="64"/>
        <v>0</v>
      </c>
      <c r="DH267" s="20">
        <f t="shared" si="65"/>
        <v>0</v>
      </c>
      <c r="DI267" s="20">
        <f t="shared" si="66"/>
        <v>0</v>
      </c>
      <c r="DJ267" s="2"/>
    </row>
    <row r="268" spans="80:114" x14ac:dyDescent="0.3">
      <c r="CB268" s="18"/>
      <c r="CC268" s="19"/>
      <c r="CD268" s="19"/>
      <c r="CE268" s="19"/>
      <c r="CF268" s="19"/>
      <c r="CG268" s="19"/>
      <c r="CH268" s="19"/>
      <c r="CI268" s="20"/>
      <c r="CJ268" s="20"/>
      <c r="CN268" s="18"/>
      <c r="CO268" s="19"/>
      <c r="CP268" s="19"/>
      <c r="CQ268" s="19"/>
      <c r="CR268" s="19"/>
      <c r="CS268" s="19"/>
      <c r="CT268" s="19"/>
      <c r="CU268" s="20"/>
      <c r="CV268" s="20"/>
      <c r="DA268" s="18">
        <f t="shared" si="58"/>
        <v>0</v>
      </c>
      <c r="DB268" s="19">
        <f t="shared" si="59"/>
        <v>0</v>
      </c>
      <c r="DC268" s="19">
        <f t="shared" si="60"/>
        <v>0</v>
      </c>
      <c r="DD268" s="19">
        <f t="shared" si="61"/>
        <v>0</v>
      </c>
      <c r="DE268" s="19">
        <f t="shared" si="62"/>
        <v>0</v>
      </c>
      <c r="DF268" s="19">
        <f t="shared" si="63"/>
        <v>0</v>
      </c>
      <c r="DG268" s="19">
        <f t="shared" si="64"/>
        <v>0</v>
      </c>
      <c r="DH268" s="20">
        <f t="shared" si="65"/>
        <v>0</v>
      </c>
      <c r="DI268" s="20">
        <f t="shared" si="66"/>
        <v>0</v>
      </c>
      <c r="DJ268" s="2"/>
    </row>
    <row r="269" spans="80:114" x14ac:dyDescent="0.3">
      <c r="CB269" s="18"/>
      <c r="CC269" s="19"/>
      <c r="CD269" s="19"/>
      <c r="CE269" s="19"/>
      <c r="CF269" s="19"/>
      <c r="CG269" s="19"/>
      <c r="CH269" s="19"/>
      <c r="CI269" s="20"/>
      <c r="CJ269" s="20"/>
      <c r="CN269" s="18"/>
      <c r="CO269" s="19"/>
      <c r="CP269" s="19"/>
      <c r="CQ269" s="19"/>
      <c r="CR269" s="19"/>
      <c r="CS269" s="19"/>
      <c r="CT269" s="19"/>
      <c r="CU269" s="20"/>
      <c r="CV269" s="20"/>
      <c r="DA269" s="18">
        <f t="shared" si="58"/>
        <v>0</v>
      </c>
      <c r="DB269" s="19">
        <f t="shared" si="59"/>
        <v>0</v>
      </c>
      <c r="DC269" s="19">
        <f t="shared" si="60"/>
        <v>0</v>
      </c>
      <c r="DD269" s="19">
        <f t="shared" si="61"/>
        <v>0</v>
      </c>
      <c r="DE269" s="19">
        <f t="shared" si="62"/>
        <v>0</v>
      </c>
      <c r="DF269" s="19">
        <f t="shared" si="63"/>
        <v>0</v>
      </c>
      <c r="DG269" s="19">
        <f t="shared" si="64"/>
        <v>0</v>
      </c>
      <c r="DH269" s="20">
        <f t="shared" si="65"/>
        <v>0</v>
      </c>
      <c r="DI269" s="20">
        <f t="shared" si="66"/>
        <v>0</v>
      </c>
      <c r="DJ269" s="2"/>
    </row>
    <row r="270" spans="80:114" x14ac:dyDescent="0.3">
      <c r="CB270" s="18"/>
      <c r="CC270" s="19"/>
      <c r="CD270" s="19"/>
      <c r="CE270" s="19"/>
      <c r="CF270" s="19"/>
      <c r="CG270" s="19"/>
      <c r="CH270" s="19"/>
      <c r="CI270" s="20"/>
      <c r="CJ270" s="20"/>
      <c r="CN270" s="18"/>
      <c r="CO270" s="19"/>
      <c r="CP270" s="19"/>
      <c r="CQ270" s="19"/>
      <c r="CR270" s="19"/>
      <c r="CS270" s="19"/>
      <c r="CT270" s="19"/>
      <c r="CU270" s="20"/>
      <c r="CV270" s="20"/>
      <c r="DA270" s="18">
        <f t="shared" si="58"/>
        <v>0</v>
      </c>
      <c r="DB270" s="19">
        <f t="shared" si="59"/>
        <v>0</v>
      </c>
      <c r="DC270" s="19">
        <f t="shared" si="60"/>
        <v>0</v>
      </c>
      <c r="DD270" s="19">
        <f t="shared" si="61"/>
        <v>0</v>
      </c>
      <c r="DE270" s="19">
        <f t="shared" si="62"/>
        <v>0</v>
      </c>
      <c r="DF270" s="19">
        <f t="shared" si="63"/>
        <v>0</v>
      </c>
      <c r="DG270" s="19">
        <f t="shared" si="64"/>
        <v>0</v>
      </c>
      <c r="DH270" s="20">
        <f t="shared" si="65"/>
        <v>0</v>
      </c>
      <c r="DI270" s="20">
        <f t="shared" si="66"/>
        <v>0</v>
      </c>
      <c r="DJ270" s="2"/>
    </row>
    <row r="271" spans="80:114" x14ac:dyDescent="0.3">
      <c r="CB271" s="18"/>
      <c r="CC271" s="19"/>
      <c r="CD271" s="19"/>
      <c r="CE271" s="19"/>
      <c r="CF271" s="19"/>
      <c r="CG271" s="19"/>
      <c r="CH271" s="19"/>
      <c r="CI271" s="20"/>
      <c r="CJ271" s="20"/>
      <c r="CN271" s="18"/>
      <c r="CO271" s="19"/>
      <c r="CP271" s="19"/>
      <c r="CQ271" s="19"/>
      <c r="CR271" s="19"/>
      <c r="CS271" s="19"/>
      <c r="CT271" s="19"/>
      <c r="CU271" s="20"/>
      <c r="CV271" s="20"/>
      <c r="DA271" s="18">
        <f t="shared" si="58"/>
        <v>0</v>
      </c>
      <c r="DB271" s="19">
        <f t="shared" si="59"/>
        <v>0</v>
      </c>
      <c r="DC271" s="19">
        <f t="shared" si="60"/>
        <v>0</v>
      </c>
      <c r="DD271" s="19">
        <f t="shared" si="61"/>
        <v>0</v>
      </c>
      <c r="DE271" s="19">
        <f t="shared" si="62"/>
        <v>0</v>
      </c>
      <c r="DF271" s="19">
        <f t="shared" si="63"/>
        <v>0</v>
      </c>
      <c r="DG271" s="19">
        <f t="shared" si="64"/>
        <v>0</v>
      </c>
      <c r="DH271" s="20">
        <f t="shared" si="65"/>
        <v>0</v>
      </c>
      <c r="DI271" s="20">
        <f t="shared" si="66"/>
        <v>0</v>
      </c>
      <c r="DJ271" s="2"/>
    </row>
    <row r="272" spans="80:114" x14ac:dyDescent="0.3">
      <c r="CB272" s="18"/>
      <c r="CC272" s="19"/>
      <c r="CD272" s="19"/>
      <c r="CE272" s="19"/>
      <c r="CF272" s="19"/>
      <c r="CG272" s="19"/>
      <c r="CH272" s="19"/>
      <c r="CI272" s="20"/>
      <c r="CJ272" s="20"/>
      <c r="CN272" s="18"/>
      <c r="CO272" s="19"/>
      <c r="CP272" s="19"/>
      <c r="CQ272" s="19"/>
      <c r="CR272" s="19"/>
      <c r="CS272" s="19"/>
      <c r="CT272" s="19"/>
      <c r="CU272" s="20"/>
      <c r="CV272" s="20"/>
      <c r="DA272" s="18">
        <f t="shared" si="58"/>
        <v>0</v>
      </c>
      <c r="DB272" s="19">
        <f t="shared" si="59"/>
        <v>0</v>
      </c>
      <c r="DC272" s="19">
        <f t="shared" si="60"/>
        <v>0</v>
      </c>
      <c r="DD272" s="19">
        <f t="shared" si="61"/>
        <v>0</v>
      </c>
      <c r="DE272" s="19">
        <f t="shared" si="62"/>
        <v>0</v>
      </c>
      <c r="DF272" s="19">
        <f t="shared" si="63"/>
        <v>0</v>
      </c>
      <c r="DG272" s="19">
        <f t="shared" si="64"/>
        <v>0</v>
      </c>
      <c r="DH272" s="20">
        <f t="shared" si="65"/>
        <v>0</v>
      </c>
      <c r="DI272" s="20">
        <f t="shared" si="66"/>
        <v>0</v>
      </c>
      <c r="DJ272" s="2"/>
    </row>
    <row r="273" spans="80:114" x14ac:dyDescent="0.3">
      <c r="CB273" s="18"/>
      <c r="CC273" s="19"/>
      <c r="CD273" s="19"/>
      <c r="CE273" s="19"/>
      <c r="CF273" s="19"/>
      <c r="CG273" s="19"/>
      <c r="CH273" s="19"/>
      <c r="CI273" s="20"/>
      <c r="CJ273" s="20"/>
      <c r="CN273" s="18"/>
      <c r="CO273" s="19"/>
      <c r="CP273" s="19"/>
      <c r="CQ273" s="19"/>
      <c r="CR273" s="19"/>
      <c r="CS273" s="19"/>
      <c r="CT273" s="19"/>
      <c r="CU273" s="20"/>
      <c r="CV273" s="20"/>
      <c r="DA273" s="18">
        <f t="shared" si="58"/>
        <v>0</v>
      </c>
      <c r="DB273" s="19">
        <f t="shared" si="59"/>
        <v>0</v>
      </c>
      <c r="DC273" s="19">
        <f t="shared" si="60"/>
        <v>0</v>
      </c>
      <c r="DD273" s="19">
        <f t="shared" si="61"/>
        <v>0</v>
      </c>
      <c r="DE273" s="19">
        <f t="shared" si="62"/>
        <v>0</v>
      </c>
      <c r="DF273" s="19">
        <f t="shared" si="63"/>
        <v>0</v>
      </c>
      <c r="DG273" s="19">
        <f t="shared" si="64"/>
        <v>0</v>
      </c>
      <c r="DH273" s="20">
        <f t="shared" si="65"/>
        <v>0</v>
      </c>
      <c r="DI273" s="20">
        <f t="shared" si="66"/>
        <v>0</v>
      </c>
      <c r="DJ273" s="2"/>
    </row>
    <row r="274" spans="80:114" x14ac:dyDescent="0.3">
      <c r="CB274" s="18"/>
      <c r="CC274" s="19"/>
      <c r="CD274" s="19"/>
      <c r="CE274" s="19"/>
      <c r="CF274" s="19"/>
      <c r="CG274" s="19"/>
      <c r="CH274" s="19"/>
      <c r="CI274" s="20"/>
      <c r="CJ274" s="20"/>
      <c r="CN274" s="18"/>
      <c r="CO274" s="19"/>
      <c r="CP274" s="19"/>
      <c r="CQ274" s="19"/>
      <c r="CR274" s="19"/>
      <c r="CS274" s="19"/>
      <c r="CT274" s="19"/>
      <c r="CU274" s="20"/>
      <c r="CV274" s="20"/>
      <c r="DA274" s="18">
        <f t="shared" si="58"/>
        <v>0</v>
      </c>
      <c r="DB274" s="19">
        <f t="shared" si="59"/>
        <v>0</v>
      </c>
      <c r="DC274" s="19">
        <f t="shared" si="60"/>
        <v>0</v>
      </c>
      <c r="DD274" s="19">
        <f t="shared" si="61"/>
        <v>0</v>
      </c>
      <c r="DE274" s="19">
        <f t="shared" si="62"/>
        <v>0</v>
      </c>
      <c r="DF274" s="19">
        <f t="shared" si="63"/>
        <v>0</v>
      </c>
      <c r="DG274" s="19">
        <f t="shared" si="64"/>
        <v>0</v>
      </c>
      <c r="DH274" s="20">
        <f t="shared" si="65"/>
        <v>0</v>
      </c>
      <c r="DI274" s="20">
        <f t="shared" si="66"/>
        <v>0</v>
      </c>
      <c r="DJ274" s="2"/>
    </row>
    <row r="275" spans="80:114" x14ac:dyDescent="0.3">
      <c r="CB275" s="18"/>
      <c r="CC275" s="19"/>
      <c r="CD275" s="19"/>
      <c r="CE275" s="19"/>
      <c r="CF275" s="19"/>
      <c r="CG275" s="19"/>
      <c r="CH275" s="19"/>
      <c r="CI275" s="20"/>
      <c r="CJ275" s="20"/>
      <c r="CN275" s="18"/>
      <c r="CO275" s="19"/>
      <c r="CP275" s="19"/>
      <c r="CQ275" s="19"/>
      <c r="CR275" s="19"/>
      <c r="CS275" s="19"/>
      <c r="CT275" s="19"/>
      <c r="CU275" s="20"/>
      <c r="CV275" s="20"/>
      <c r="DA275" s="18">
        <f t="shared" si="58"/>
        <v>0</v>
      </c>
      <c r="DB275" s="19">
        <f t="shared" si="59"/>
        <v>0</v>
      </c>
      <c r="DC275" s="19">
        <f t="shared" si="60"/>
        <v>0</v>
      </c>
      <c r="DD275" s="19">
        <f t="shared" si="61"/>
        <v>0</v>
      </c>
      <c r="DE275" s="19">
        <f t="shared" si="62"/>
        <v>0</v>
      </c>
      <c r="DF275" s="19">
        <f t="shared" si="63"/>
        <v>0</v>
      </c>
      <c r="DG275" s="19">
        <f t="shared" si="64"/>
        <v>0</v>
      </c>
      <c r="DH275" s="20">
        <f t="shared" si="65"/>
        <v>0</v>
      </c>
      <c r="DI275" s="20">
        <f t="shared" si="66"/>
        <v>0</v>
      </c>
      <c r="DJ275" s="2"/>
    </row>
    <row r="276" spans="80:114" x14ac:dyDescent="0.3">
      <c r="CB276" s="18"/>
      <c r="CC276" s="19"/>
      <c r="CD276" s="19"/>
      <c r="CE276" s="19"/>
      <c r="CF276" s="19"/>
      <c r="CG276" s="19"/>
      <c r="CH276" s="19"/>
      <c r="CI276" s="20"/>
      <c r="CJ276" s="20"/>
      <c r="CN276" s="18"/>
      <c r="CO276" s="19"/>
      <c r="CP276" s="19"/>
      <c r="CQ276" s="19"/>
      <c r="CR276" s="19"/>
      <c r="CS276" s="19"/>
      <c r="CT276" s="19"/>
      <c r="CU276" s="20"/>
      <c r="CV276" s="20"/>
      <c r="DA276" s="18">
        <f t="shared" si="58"/>
        <v>0</v>
      </c>
      <c r="DB276" s="19">
        <f t="shared" si="59"/>
        <v>0</v>
      </c>
      <c r="DC276" s="19">
        <f t="shared" si="60"/>
        <v>0</v>
      </c>
      <c r="DD276" s="19">
        <f t="shared" si="61"/>
        <v>0</v>
      </c>
      <c r="DE276" s="19">
        <f t="shared" si="62"/>
        <v>0</v>
      </c>
      <c r="DF276" s="19">
        <f t="shared" si="63"/>
        <v>0</v>
      </c>
      <c r="DG276" s="19">
        <f t="shared" si="64"/>
        <v>0</v>
      </c>
      <c r="DH276" s="20">
        <f t="shared" si="65"/>
        <v>0</v>
      </c>
      <c r="DI276" s="20">
        <f t="shared" si="66"/>
        <v>0</v>
      </c>
      <c r="DJ276" s="2"/>
    </row>
    <row r="277" spans="80:114" x14ac:dyDescent="0.3">
      <c r="CB277" s="18"/>
      <c r="CC277" s="19"/>
      <c r="CD277" s="19"/>
      <c r="CE277" s="19"/>
      <c r="CF277" s="19"/>
      <c r="CG277" s="19"/>
      <c r="CH277" s="19"/>
      <c r="CI277" s="20"/>
      <c r="CJ277" s="20"/>
      <c r="CN277" s="18"/>
      <c r="CO277" s="19"/>
      <c r="CP277" s="19"/>
      <c r="CQ277" s="19"/>
      <c r="CR277" s="19"/>
      <c r="CS277" s="19"/>
      <c r="CT277" s="19"/>
      <c r="CU277" s="20"/>
      <c r="CV277" s="20"/>
      <c r="DA277" s="18">
        <f t="shared" si="58"/>
        <v>0</v>
      </c>
      <c r="DB277" s="19">
        <f t="shared" si="59"/>
        <v>0</v>
      </c>
      <c r="DC277" s="19">
        <f t="shared" si="60"/>
        <v>0</v>
      </c>
      <c r="DD277" s="19">
        <f t="shared" si="61"/>
        <v>0</v>
      </c>
      <c r="DE277" s="19">
        <f t="shared" si="62"/>
        <v>0</v>
      </c>
      <c r="DF277" s="19">
        <f t="shared" si="63"/>
        <v>0</v>
      </c>
      <c r="DG277" s="19">
        <f t="shared" si="64"/>
        <v>0</v>
      </c>
      <c r="DH277" s="20">
        <f t="shared" si="65"/>
        <v>0</v>
      </c>
      <c r="DI277" s="20">
        <f t="shared" si="66"/>
        <v>0</v>
      </c>
      <c r="DJ277" s="2"/>
    </row>
    <row r="278" spans="80:114" x14ac:dyDescent="0.3">
      <c r="CB278" s="18"/>
      <c r="CC278" s="19"/>
      <c r="CD278" s="19"/>
      <c r="CE278" s="19"/>
      <c r="CF278" s="19"/>
      <c r="CG278" s="19"/>
      <c r="CH278" s="19"/>
      <c r="CI278" s="20"/>
      <c r="CJ278" s="20"/>
      <c r="CN278" s="18"/>
      <c r="CO278" s="19"/>
      <c r="CP278" s="19"/>
      <c r="CQ278" s="19"/>
      <c r="CR278" s="19"/>
      <c r="CS278" s="19"/>
      <c r="CT278" s="19"/>
      <c r="CU278" s="20"/>
      <c r="CV278" s="20"/>
      <c r="DA278" s="18">
        <f t="shared" si="58"/>
        <v>0</v>
      </c>
      <c r="DB278" s="19">
        <f t="shared" si="59"/>
        <v>0</v>
      </c>
      <c r="DC278" s="19">
        <f t="shared" si="60"/>
        <v>0</v>
      </c>
      <c r="DD278" s="19">
        <f t="shared" si="61"/>
        <v>0</v>
      </c>
      <c r="DE278" s="19">
        <f t="shared" si="62"/>
        <v>0</v>
      </c>
      <c r="DF278" s="19">
        <f t="shared" si="63"/>
        <v>0</v>
      </c>
      <c r="DG278" s="19">
        <f t="shared" si="64"/>
        <v>0</v>
      </c>
      <c r="DH278" s="20">
        <f t="shared" si="65"/>
        <v>0</v>
      </c>
      <c r="DI278" s="20">
        <f t="shared" si="66"/>
        <v>0</v>
      </c>
      <c r="DJ278" s="2"/>
    </row>
    <row r="279" spans="80:114" x14ac:dyDescent="0.3">
      <c r="CB279" s="18"/>
      <c r="CC279" s="19"/>
      <c r="CD279" s="19"/>
      <c r="CE279" s="19"/>
      <c r="CF279" s="19"/>
      <c r="CG279" s="19"/>
      <c r="CH279" s="19"/>
      <c r="CI279" s="20"/>
      <c r="CJ279" s="20"/>
      <c r="CN279" s="18"/>
      <c r="CO279" s="19"/>
      <c r="CP279" s="19"/>
      <c r="CQ279" s="19"/>
      <c r="CR279" s="19"/>
      <c r="CS279" s="19"/>
      <c r="CT279" s="19"/>
      <c r="CU279" s="20"/>
      <c r="CV279" s="20"/>
      <c r="DA279" s="18">
        <f t="shared" si="58"/>
        <v>0</v>
      </c>
      <c r="DB279" s="19">
        <f t="shared" si="59"/>
        <v>0</v>
      </c>
      <c r="DC279" s="19">
        <f t="shared" si="60"/>
        <v>0</v>
      </c>
      <c r="DD279" s="19">
        <f t="shared" si="61"/>
        <v>0</v>
      </c>
      <c r="DE279" s="19">
        <f t="shared" si="62"/>
        <v>0</v>
      </c>
      <c r="DF279" s="19">
        <f t="shared" si="63"/>
        <v>0</v>
      </c>
      <c r="DG279" s="19">
        <f t="shared" si="64"/>
        <v>0</v>
      </c>
      <c r="DH279" s="20">
        <f t="shared" si="65"/>
        <v>0</v>
      </c>
      <c r="DI279" s="20">
        <f t="shared" si="66"/>
        <v>0</v>
      </c>
      <c r="DJ279" s="2"/>
    </row>
    <row r="280" spans="80:114" x14ac:dyDescent="0.3">
      <c r="CB280" s="18"/>
      <c r="CC280" s="19"/>
      <c r="CD280" s="19"/>
      <c r="CE280" s="19"/>
      <c r="CF280" s="19"/>
      <c r="CG280" s="19"/>
      <c r="CH280" s="19"/>
      <c r="CI280" s="20"/>
      <c r="CJ280" s="20"/>
      <c r="CN280" s="18"/>
      <c r="CO280" s="19"/>
      <c r="CP280" s="19"/>
      <c r="CQ280" s="19"/>
      <c r="CR280" s="19"/>
      <c r="CS280" s="19"/>
      <c r="CT280" s="19"/>
      <c r="CU280" s="20"/>
      <c r="CV280" s="20"/>
      <c r="DA280" s="18">
        <f t="shared" si="58"/>
        <v>0</v>
      </c>
      <c r="DB280" s="19">
        <f t="shared" si="59"/>
        <v>0</v>
      </c>
      <c r="DC280" s="19">
        <f t="shared" si="60"/>
        <v>0</v>
      </c>
      <c r="DD280" s="19">
        <f t="shared" si="61"/>
        <v>0</v>
      </c>
      <c r="DE280" s="19">
        <f t="shared" si="62"/>
        <v>0</v>
      </c>
      <c r="DF280" s="19">
        <f t="shared" si="63"/>
        <v>0</v>
      </c>
      <c r="DG280" s="19">
        <f t="shared" si="64"/>
        <v>0</v>
      </c>
      <c r="DH280" s="20">
        <f t="shared" si="65"/>
        <v>0</v>
      </c>
      <c r="DI280" s="20">
        <f t="shared" si="66"/>
        <v>0</v>
      </c>
      <c r="DJ280" s="2"/>
    </row>
    <row r="281" spans="80:114" x14ac:dyDescent="0.3">
      <c r="CB281" s="18"/>
      <c r="CC281" s="19"/>
      <c r="CD281" s="19"/>
      <c r="CE281" s="19"/>
      <c r="CF281" s="19"/>
      <c r="CG281" s="19"/>
      <c r="CH281" s="19"/>
      <c r="CI281" s="20"/>
      <c r="CJ281" s="20"/>
      <c r="CN281" s="18"/>
      <c r="CO281" s="19"/>
      <c r="CP281" s="19"/>
      <c r="CQ281" s="19"/>
      <c r="CR281" s="19"/>
      <c r="CS281" s="19"/>
      <c r="CT281" s="19"/>
      <c r="CU281" s="20"/>
      <c r="CV281" s="20"/>
      <c r="DA281" s="18">
        <f t="shared" si="58"/>
        <v>0</v>
      </c>
      <c r="DB281" s="19">
        <f t="shared" si="59"/>
        <v>0</v>
      </c>
      <c r="DC281" s="19">
        <f t="shared" si="60"/>
        <v>0</v>
      </c>
      <c r="DD281" s="19">
        <f t="shared" si="61"/>
        <v>0</v>
      </c>
      <c r="DE281" s="19">
        <f t="shared" si="62"/>
        <v>0</v>
      </c>
      <c r="DF281" s="19">
        <f t="shared" si="63"/>
        <v>0</v>
      </c>
      <c r="DG281" s="19">
        <f t="shared" si="64"/>
        <v>0</v>
      </c>
      <c r="DH281" s="20">
        <f t="shared" si="65"/>
        <v>0</v>
      </c>
      <c r="DI281" s="20">
        <f t="shared" si="66"/>
        <v>0</v>
      </c>
      <c r="DJ281" s="2"/>
    </row>
    <row r="282" spans="80:114" x14ac:dyDescent="0.3">
      <c r="CB282" s="18"/>
      <c r="CC282" s="19"/>
      <c r="CD282" s="19"/>
      <c r="CE282" s="19"/>
      <c r="CF282" s="19"/>
      <c r="CG282" s="19"/>
      <c r="CH282" s="19"/>
      <c r="CI282" s="20"/>
      <c r="CJ282" s="20"/>
      <c r="CN282" s="18"/>
      <c r="CO282" s="19"/>
      <c r="CP282" s="19"/>
      <c r="CQ282" s="19"/>
      <c r="CR282" s="19"/>
      <c r="CS282" s="19"/>
      <c r="CT282" s="19"/>
      <c r="CU282" s="20"/>
      <c r="CV282" s="20"/>
      <c r="DA282" s="18">
        <f t="shared" si="58"/>
        <v>0</v>
      </c>
      <c r="DB282" s="19">
        <f t="shared" si="59"/>
        <v>0</v>
      </c>
      <c r="DC282" s="19">
        <f t="shared" si="60"/>
        <v>0</v>
      </c>
      <c r="DD282" s="19">
        <f t="shared" si="61"/>
        <v>0</v>
      </c>
      <c r="DE282" s="19">
        <f t="shared" si="62"/>
        <v>0</v>
      </c>
      <c r="DF282" s="19">
        <f t="shared" si="63"/>
        <v>0</v>
      </c>
      <c r="DG282" s="19">
        <f t="shared" si="64"/>
        <v>0</v>
      </c>
      <c r="DH282" s="20">
        <f t="shared" si="65"/>
        <v>0</v>
      </c>
      <c r="DI282" s="20">
        <f t="shared" si="66"/>
        <v>0</v>
      </c>
      <c r="DJ282" s="2"/>
    </row>
    <row r="283" spans="80:114" x14ac:dyDescent="0.3">
      <c r="CB283" s="18"/>
      <c r="CC283" s="19"/>
      <c r="CD283" s="19"/>
      <c r="CE283" s="19"/>
      <c r="CF283" s="19"/>
      <c r="CG283" s="19"/>
      <c r="CH283" s="19"/>
      <c r="CI283" s="20"/>
      <c r="CJ283" s="20"/>
      <c r="CN283" s="18"/>
      <c r="CO283" s="19"/>
      <c r="CP283" s="19"/>
      <c r="CQ283" s="19"/>
      <c r="CR283" s="19"/>
      <c r="CS283" s="19"/>
      <c r="CT283" s="19"/>
      <c r="CU283" s="20"/>
      <c r="CV283" s="20"/>
      <c r="DA283" s="18">
        <f t="shared" si="58"/>
        <v>0</v>
      </c>
      <c r="DB283" s="19">
        <f t="shared" si="59"/>
        <v>0</v>
      </c>
      <c r="DC283" s="19">
        <f t="shared" si="60"/>
        <v>0</v>
      </c>
      <c r="DD283" s="19">
        <f t="shared" si="61"/>
        <v>0</v>
      </c>
      <c r="DE283" s="19">
        <f t="shared" si="62"/>
        <v>0</v>
      </c>
      <c r="DF283" s="19">
        <f t="shared" si="63"/>
        <v>0</v>
      </c>
      <c r="DG283" s="19">
        <f t="shared" si="64"/>
        <v>0</v>
      </c>
      <c r="DH283" s="20">
        <f t="shared" si="65"/>
        <v>0</v>
      </c>
      <c r="DI283" s="20">
        <f t="shared" si="66"/>
        <v>0</v>
      </c>
      <c r="DJ283" s="2"/>
    </row>
    <row r="284" spans="80:114" x14ac:dyDescent="0.3">
      <c r="CB284" s="18"/>
      <c r="CC284" s="19"/>
      <c r="CD284" s="19"/>
      <c r="CE284" s="19"/>
      <c r="CF284" s="19"/>
      <c r="CG284" s="19"/>
      <c r="CH284" s="19"/>
      <c r="CI284" s="20"/>
      <c r="CJ284" s="20"/>
      <c r="CN284" s="18"/>
      <c r="CO284" s="19"/>
      <c r="CP284" s="19"/>
      <c r="CQ284" s="19"/>
      <c r="CR284" s="19"/>
      <c r="CS284" s="19"/>
      <c r="CT284" s="19"/>
      <c r="CU284" s="20"/>
      <c r="CV284" s="20"/>
      <c r="DA284" s="18">
        <f t="shared" si="58"/>
        <v>0</v>
      </c>
      <c r="DB284" s="19">
        <f t="shared" si="59"/>
        <v>0</v>
      </c>
      <c r="DC284" s="19">
        <f t="shared" si="60"/>
        <v>0</v>
      </c>
      <c r="DD284" s="19">
        <f t="shared" si="61"/>
        <v>0</v>
      </c>
      <c r="DE284" s="19">
        <f t="shared" si="62"/>
        <v>0</v>
      </c>
      <c r="DF284" s="19">
        <f t="shared" si="63"/>
        <v>0</v>
      </c>
      <c r="DG284" s="19">
        <f t="shared" si="64"/>
        <v>0</v>
      </c>
      <c r="DH284" s="20">
        <f t="shared" si="65"/>
        <v>0</v>
      </c>
      <c r="DI284" s="20">
        <f t="shared" si="66"/>
        <v>0</v>
      </c>
      <c r="DJ284" s="2"/>
    </row>
    <row r="285" spans="80:114" x14ac:dyDescent="0.3">
      <c r="CB285" s="18"/>
      <c r="CC285" s="19"/>
      <c r="CD285" s="19"/>
      <c r="CE285" s="19"/>
      <c r="CF285" s="19"/>
      <c r="CG285" s="19"/>
      <c r="CH285" s="19"/>
      <c r="CI285" s="20"/>
      <c r="CJ285" s="20"/>
      <c r="CN285" s="18"/>
      <c r="CO285" s="19"/>
      <c r="CP285" s="19"/>
      <c r="CQ285" s="19"/>
      <c r="CR285" s="19"/>
      <c r="CS285" s="19"/>
      <c r="CT285" s="19"/>
      <c r="CU285" s="20"/>
      <c r="CV285" s="20"/>
      <c r="DA285" s="18">
        <f t="shared" si="58"/>
        <v>0</v>
      </c>
      <c r="DB285" s="19">
        <f t="shared" si="59"/>
        <v>0</v>
      </c>
      <c r="DC285" s="19">
        <f t="shared" si="60"/>
        <v>0</v>
      </c>
      <c r="DD285" s="19">
        <f t="shared" si="61"/>
        <v>0</v>
      </c>
      <c r="DE285" s="19">
        <f t="shared" si="62"/>
        <v>0</v>
      </c>
      <c r="DF285" s="19">
        <f t="shared" si="63"/>
        <v>0</v>
      </c>
      <c r="DG285" s="19">
        <f t="shared" si="64"/>
        <v>0</v>
      </c>
      <c r="DH285" s="20">
        <f t="shared" si="65"/>
        <v>0</v>
      </c>
      <c r="DI285" s="20">
        <f t="shared" si="66"/>
        <v>0</v>
      </c>
      <c r="DJ285" s="2"/>
    </row>
    <row r="286" spans="80:114" x14ac:dyDescent="0.3">
      <c r="CB286" s="18"/>
      <c r="CC286" s="19"/>
      <c r="CD286" s="19"/>
      <c r="CE286" s="19"/>
      <c r="CF286" s="19"/>
      <c r="CG286" s="19"/>
      <c r="CH286" s="19"/>
      <c r="CI286" s="20"/>
      <c r="CJ286" s="20"/>
      <c r="CN286" s="18"/>
      <c r="CO286" s="19"/>
      <c r="CP286" s="19"/>
      <c r="CQ286" s="19"/>
      <c r="CR286" s="19"/>
      <c r="CS286" s="19"/>
      <c r="CT286" s="19"/>
      <c r="CU286" s="20"/>
      <c r="CV286" s="20"/>
      <c r="DA286" s="18">
        <f t="shared" si="58"/>
        <v>0</v>
      </c>
      <c r="DB286" s="19">
        <f t="shared" si="59"/>
        <v>0</v>
      </c>
      <c r="DC286" s="19">
        <f t="shared" si="60"/>
        <v>0</v>
      </c>
      <c r="DD286" s="19">
        <f t="shared" si="61"/>
        <v>0</v>
      </c>
      <c r="DE286" s="19">
        <f t="shared" si="62"/>
        <v>0</v>
      </c>
      <c r="DF286" s="19">
        <f t="shared" si="63"/>
        <v>0</v>
      </c>
      <c r="DG286" s="19">
        <f t="shared" si="64"/>
        <v>0</v>
      </c>
      <c r="DH286" s="20">
        <f t="shared" si="65"/>
        <v>0</v>
      </c>
      <c r="DI286" s="20">
        <f t="shared" si="66"/>
        <v>0</v>
      </c>
      <c r="DJ286" s="2"/>
    </row>
    <row r="287" spans="80:114" x14ac:dyDescent="0.3">
      <c r="CB287" s="18"/>
      <c r="CC287" s="19"/>
      <c r="CD287" s="19"/>
      <c r="CE287" s="19"/>
      <c r="CF287" s="19"/>
      <c r="CG287" s="19"/>
      <c r="CH287" s="19"/>
      <c r="CI287" s="20"/>
      <c r="CJ287" s="20"/>
      <c r="CN287" s="18"/>
      <c r="CO287" s="19"/>
      <c r="CP287" s="19"/>
      <c r="CQ287" s="19"/>
      <c r="CR287" s="19"/>
      <c r="CS287" s="19"/>
      <c r="CT287" s="19"/>
      <c r="CU287" s="20"/>
      <c r="CV287" s="20"/>
      <c r="DA287" s="18">
        <f t="shared" si="58"/>
        <v>0</v>
      </c>
      <c r="DB287" s="19">
        <f t="shared" si="59"/>
        <v>0</v>
      </c>
      <c r="DC287" s="19">
        <f t="shared" si="60"/>
        <v>0</v>
      </c>
      <c r="DD287" s="19">
        <f t="shared" si="61"/>
        <v>0</v>
      </c>
      <c r="DE287" s="19">
        <f t="shared" si="62"/>
        <v>0</v>
      </c>
      <c r="DF287" s="19">
        <f t="shared" si="63"/>
        <v>0</v>
      </c>
      <c r="DG287" s="19">
        <f t="shared" si="64"/>
        <v>0</v>
      </c>
      <c r="DH287" s="20">
        <f t="shared" si="65"/>
        <v>0</v>
      </c>
      <c r="DI287" s="20">
        <f t="shared" si="66"/>
        <v>0</v>
      </c>
      <c r="DJ287" s="2"/>
    </row>
    <row r="288" spans="80:114" x14ac:dyDescent="0.3">
      <c r="CB288" s="18"/>
      <c r="CC288" s="19"/>
      <c r="CD288" s="19"/>
      <c r="CE288" s="19"/>
      <c r="CF288" s="19"/>
      <c r="CG288" s="19"/>
      <c r="CH288" s="19"/>
      <c r="CI288" s="20"/>
      <c r="CJ288" s="20"/>
      <c r="CN288" s="18"/>
      <c r="CO288" s="19"/>
      <c r="CP288" s="19"/>
      <c r="CQ288" s="19"/>
      <c r="CR288" s="19"/>
      <c r="CS288" s="19"/>
      <c r="CT288" s="19"/>
      <c r="CU288" s="20"/>
      <c r="CV288" s="20"/>
      <c r="DA288" s="18">
        <f t="shared" si="58"/>
        <v>0</v>
      </c>
      <c r="DB288" s="19">
        <f t="shared" si="59"/>
        <v>0</v>
      </c>
      <c r="DC288" s="19">
        <f t="shared" si="60"/>
        <v>0</v>
      </c>
      <c r="DD288" s="19">
        <f t="shared" si="61"/>
        <v>0</v>
      </c>
      <c r="DE288" s="19">
        <f t="shared" si="62"/>
        <v>0</v>
      </c>
      <c r="DF288" s="19">
        <f t="shared" si="63"/>
        <v>0</v>
      </c>
      <c r="DG288" s="19">
        <f t="shared" si="64"/>
        <v>0</v>
      </c>
      <c r="DH288" s="20">
        <f t="shared" si="65"/>
        <v>0</v>
      </c>
      <c r="DI288" s="20">
        <f t="shared" si="66"/>
        <v>0</v>
      </c>
      <c r="DJ288" s="2"/>
    </row>
    <row r="289" spans="80:114" x14ac:dyDescent="0.3">
      <c r="CB289" s="18"/>
      <c r="CC289" s="19"/>
      <c r="CD289" s="19"/>
      <c r="CE289" s="19"/>
      <c r="CF289" s="19"/>
      <c r="CG289" s="19"/>
      <c r="CH289" s="19"/>
      <c r="CI289" s="20"/>
      <c r="CJ289" s="20"/>
      <c r="CN289" s="18"/>
      <c r="CO289" s="19"/>
      <c r="CP289" s="19"/>
      <c r="CQ289" s="19"/>
      <c r="CR289" s="19"/>
      <c r="CS289" s="19"/>
      <c r="CT289" s="19"/>
      <c r="CU289" s="20"/>
      <c r="CV289" s="20"/>
      <c r="DA289" s="18">
        <f t="shared" si="58"/>
        <v>0</v>
      </c>
      <c r="DB289" s="19">
        <f t="shared" si="59"/>
        <v>0</v>
      </c>
      <c r="DC289" s="19">
        <f t="shared" si="60"/>
        <v>0</v>
      </c>
      <c r="DD289" s="19">
        <f t="shared" si="61"/>
        <v>0</v>
      </c>
      <c r="DE289" s="19">
        <f t="shared" si="62"/>
        <v>0</v>
      </c>
      <c r="DF289" s="19">
        <f t="shared" si="63"/>
        <v>0</v>
      </c>
      <c r="DG289" s="19">
        <f t="shared" si="64"/>
        <v>0</v>
      </c>
      <c r="DH289" s="20">
        <f t="shared" si="65"/>
        <v>0</v>
      </c>
      <c r="DI289" s="20">
        <f t="shared" si="66"/>
        <v>0</v>
      </c>
      <c r="DJ289" s="2"/>
    </row>
    <row r="290" spans="80:114" x14ac:dyDescent="0.3">
      <c r="CB290" s="18"/>
      <c r="CC290" s="19"/>
      <c r="CD290" s="19"/>
      <c r="CE290" s="19"/>
      <c r="CF290" s="19"/>
      <c r="CG290" s="19"/>
      <c r="CH290" s="19"/>
      <c r="CI290" s="20"/>
      <c r="CJ290" s="20"/>
      <c r="CN290" s="18"/>
      <c r="CO290" s="19"/>
      <c r="CP290" s="19"/>
      <c r="CQ290" s="19"/>
      <c r="CR290" s="19"/>
      <c r="CS290" s="19"/>
      <c r="CT290" s="19"/>
      <c r="CU290" s="20"/>
      <c r="CV290" s="20"/>
      <c r="DA290" s="18">
        <f t="shared" si="58"/>
        <v>0</v>
      </c>
      <c r="DB290" s="19">
        <f t="shared" si="59"/>
        <v>0</v>
      </c>
      <c r="DC290" s="19">
        <f t="shared" si="60"/>
        <v>0</v>
      </c>
      <c r="DD290" s="19">
        <f t="shared" si="61"/>
        <v>0</v>
      </c>
      <c r="DE290" s="19">
        <f t="shared" si="62"/>
        <v>0</v>
      </c>
      <c r="DF290" s="19">
        <f t="shared" si="63"/>
        <v>0</v>
      </c>
      <c r="DG290" s="19">
        <f t="shared" si="64"/>
        <v>0</v>
      </c>
      <c r="DH290" s="20">
        <f t="shared" si="65"/>
        <v>0</v>
      </c>
      <c r="DI290" s="20">
        <f t="shared" si="66"/>
        <v>0</v>
      </c>
      <c r="DJ290" s="2"/>
    </row>
    <row r="291" spans="80:114" x14ac:dyDescent="0.3">
      <c r="CB291" s="18"/>
      <c r="CC291" s="19"/>
      <c r="CD291" s="19"/>
      <c r="CE291" s="19"/>
      <c r="CF291" s="19"/>
      <c r="CG291" s="19"/>
      <c r="CH291" s="19"/>
      <c r="CI291" s="20"/>
      <c r="CJ291" s="20"/>
      <c r="CN291" s="18"/>
      <c r="CO291" s="19"/>
      <c r="CP291" s="19"/>
      <c r="CQ291" s="19"/>
      <c r="CR291" s="19"/>
      <c r="CS291" s="19"/>
      <c r="CT291" s="19"/>
      <c r="CU291" s="20"/>
      <c r="CV291" s="20"/>
      <c r="DA291" s="18">
        <f t="shared" si="58"/>
        <v>0</v>
      </c>
      <c r="DB291" s="19">
        <f t="shared" si="59"/>
        <v>0</v>
      </c>
      <c r="DC291" s="19">
        <f t="shared" si="60"/>
        <v>0</v>
      </c>
      <c r="DD291" s="19">
        <f t="shared" si="61"/>
        <v>0</v>
      </c>
      <c r="DE291" s="19">
        <f t="shared" si="62"/>
        <v>0</v>
      </c>
      <c r="DF291" s="19">
        <f t="shared" si="63"/>
        <v>0</v>
      </c>
      <c r="DG291" s="19">
        <f t="shared" si="64"/>
        <v>0</v>
      </c>
      <c r="DH291" s="20">
        <f t="shared" si="65"/>
        <v>0</v>
      </c>
      <c r="DI291" s="20">
        <f t="shared" si="66"/>
        <v>0</v>
      </c>
      <c r="DJ291" s="2"/>
    </row>
    <row r="292" spans="80:114" x14ac:dyDescent="0.3">
      <c r="CB292" s="18"/>
      <c r="CC292" s="19"/>
      <c r="CD292" s="19"/>
      <c r="CE292" s="19"/>
      <c r="CF292" s="19"/>
      <c r="CG292" s="19"/>
      <c r="CH292" s="19"/>
      <c r="CI292" s="20"/>
      <c r="CJ292" s="20"/>
      <c r="CN292" s="18"/>
      <c r="CO292" s="19"/>
      <c r="CP292" s="19"/>
      <c r="CQ292" s="19"/>
      <c r="CR292" s="19"/>
      <c r="CS292" s="19"/>
      <c r="CT292" s="19"/>
      <c r="CU292" s="20"/>
      <c r="CV292" s="20"/>
      <c r="DA292" s="18">
        <f t="shared" si="58"/>
        <v>0</v>
      </c>
      <c r="DB292" s="19">
        <f t="shared" si="59"/>
        <v>0</v>
      </c>
      <c r="DC292" s="19">
        <f t="shared" si="60"/>
        <v>0</v>
      </c>
      <c r="DD292" s="19">
        <f t="shared" si="61"/>
        <v>0</v>
      </c>
      <c r="DE292" s="19">
        <f t="shared" si="62"/>
        <v>0</v>
      </c>
      <c r="DF292" s="19">
        <f t="shared" si="63"/>
        <v>0</v>
      </c>
      <c r="DG292" s="19">
        <f t="shared" si="64"/>
        <v>0</v>
      </c>
      <c r="DH292" s="20">
        <f t="shared" si="65"/>
        <v>0</v>
      </c>
      <c r="DI292" s="20">
        <f t="shared" si="66"/>
        <v>0</v>
      </c>
      <c r="DJ292" s="2"/>
    </row>
    <row r="293" spans="80:114" x14ac:dyDescent="0.3">
      <c r="CB293" s="18"/>
      <c r="CC293" s="19"/>
      <c r="CD293" s="19"/>
      <c r="CE293" s="19"/>
      <c r="CF293" s="19"/>
      <c r="CG293" s="19"/>
      <c r="CH293" s="19"/>
      <c r="CI293" s="20"/>
      <c r="CJ293" s="20"/>
      <c r="CN293" s="18"/>
      <c r="CO293" s="19"/>
      <c r="CP293" s="19"/>
      <c r="CQ293" s="19"/>
      <c r="CR293" s="19"/>
      <c r="CS293" s="19"/>
      <c r="CT293" s="19"/>
      <c r="CU293" s="20"/>
      <c r="CV293" s="20"/>
      <c r="DA293" s="18">
        <f t="shared" si="58"/>
        <v>0</v>
      </c>
      <c r="DB293" s="19">
        <f t="shared" si="59"/>
        <v>0</v>
      </c>
      <c r="DC293" s="19">
        <f t="shared" si="60"/>
        <v>0</v>
      </c>
      <c r="DD293" s="19">
        <f t="shared" si="61"/>
        <v>0</v>
      </c>
      <c r="DE293" s="19">
        <f t="shared" si="62"/>
        <v>0</v>
      </c>
      <c r="DF293" s="19">
        <f t="shared" si="63"/>
        <v>0</v>
      </c>
      <c r="DG293" s="19">
        <f t="shared" si="64"/>
        <v>0</v>
      </c>
      <c r="DH293" s="20">
        <f t="shared" si="65"/>
        <v>0</v>
      </c>
      <c r="DI293" s="20">
        <f t="shared" si="66"/>
        <v>0</v>
      </c>
      <c r="DJ293" s="2"/>
    </row>
    <row r="294" spans="80:114" x14ac:dyDescent="0.3">
      <c r="CB294" s="18"/>
      <c r="CC294" s="19"/>
      <c r="CD294" s="19"/>
      <c r="CE294" s="19"/>
      <c r="CF294" s="19"/>
      <c r="CG294" s="19"/>
      <c r="CH294" s="19"/>
      <c r="CI294" s="20"/>
      <c r="CJ294" s="20"/>
      <c r="CN294" s="18"/>
      <c r="CO294" s="19"/>
      <c r="CP294" s="19"/>
      <c r="CQ294" s="19"/>
      <c r="CR294" s="19"/>
      <c r="CS294" s="19"/>
      <c r="CT294" s="19"/>
      <c r="CU294" s="20"/>
      <c r="CV294" s="20"/>
      <c r="DA294" s="18">
        <f t="shared" si="58"/>
        <v>0</v>
      </c>
      <c r="DB294" s="19">
        <f t="shared" si="59"/>
        <v>0</v>
      </c>
      <c r="DC294" s="19">
        <f t="shared" si="60"/>
        <v>0</v>
      </c>
      <c r="DD294" s="19">
        <f t="shared" si="61"/>
        <v>0</v>
      </c>
      <c r="DE294" s="19">
        <f t="shared" si="62"/>
        <v>0</v>
      </c>
      <c r="DF294" s="19">
        <f t="shared" si="63"/>
        <v>0</v>
      </c>
      <c r="DG294" s="19">
        <f t="shared" si="64"/>
        <v>0</v>
      </c>
      <c r="DH294" s="20">
        <f t="shared" si="65"/>
        <v>0</v>
      </c>
      <c r="DI294" s="20">
        <f t="shared" si="66"/>
        <v>0</v>
      </c>
      <c r="DJ294" s="2"/>
    </row>
    <row r="295" spans="80:114" x14ac:dyDescent="0.3">
      <c r="CB295" s="18"/>
      <c r="CC295" s="19"/>
      <c r="CD295" s="19"/>
      <c r="CE295" s="19"/>
      <c r="CF295" s="19"/>
      <c r="CG295" s="19"/>
      <c r="CH295" s="19"/>
      <c r="CI295" s="20"/>
      <c r="CJ295" s="20"/>
      <c r="CN295" s="18"/>
      <c r="CO295" s="19"/>
      <c r="CP295" s="19"/>
      <c r="CQ295" s="19"/>
      <c r="CR295" s="19"/>
      <c r="CS295" s="19"/>
      <c r="CT295" s="19"/>
      <c r="CU295" s="20"/>
      <c r="CV295" s="20"/>
      <c r="DA295" s="18">
        <f t="shared" si="58"/>
        <v>0</v>
      </c>
      <c r="DB295" s="19">
        <f t="shared" si="59"/>
        <v>0</v>
      </c>
      <c r="DC295" s="19">
        <f t="shared" si="60"/>
        <v>0</v>
      </c>
      <c r="DD295" s="19">
        <f t="shared" si="61"/>
        <v>0</v>
      </c>
      <c r="DE295" s="19">
        <f t="shared" si="62"/>
        <v>0</v>
      </c>
      <c r="DF295" s="19">
        <f t="shared" si="63"/>
        <v>0</v>
      </c>
      <c r="DG295" s="19">
        <f t="shared" si="64"/>
        <v>0</v>
      </c>
      <c r="DH295" s="20">
        <f t="shared" si="65"/>
        <v>0</v>
      </c>
      <c r="DI295" s="20">
        <f t="shared" si="66"/>
        <v>0</v>
      </c>
      <c r="DJ295" s="2"/>
    </row>
    <row r="296" spans="80:114" x14ac:dyDescent="0.3">
      <c r="CB296" s="18"/>
      <c r="CC296" s="19"/>
      <c r="CD296" s="19"/>
      <c r="CE296" s="19"/>
      <c r="CF296" s="19"/>
      <c r="CG296" s="19"/>
      <c r="CH296" s="19"/>
      <c r="CI296" s="20"/>
      <c r="CJ296" s="20"/>
      <c r="CN296" s="18"/>
      <c r="CO296" s="19"/>
      <c r="CP296" s="19"/>
      <c r="CQ296" s="19"/>
      <c r="CR296" s="19"/>
      <c r="CS296" s="19"/>
      <c r="CT296" s="19"/>
      <c r="CU296" s="20"/>
      <c r="CV296" s="20"/>
      <c r="DA296" s="18">
        <f t="shared" si="58"/>
        <v>0</v>
      </c>
      <c r="DB296" s="19">
        <f t="shared" si="59"/>
        <v>0</v>
      </c>
      <c r="DC296" s="19">
        <f t="shared" si="60"/>
        <v>0</v>
      </c>
      <c r="DD296" s="19">
        <f t="shared" si="61"/>
        <v>0</v>
      </c>
      <c r="DE296" s="19">
        <f t="shared" si="62"/>
        <v>0</v>
      </c>
      <c r="DF296" s="19">
        <f t="shared" si="63"/>
        <v>0</v>
      </c>
      <c r="DG296" s="19">
        <f t="shared" si="64"/>
        <v>0</v>
      </c>
      <c r="DH296" s="20">
        <f t="shared" si="65"/>
        <v>0</v>
      </c>
      <c r="DI296" s="20">
        <f t="shared" si="66"/>
        <v>0</v>
      </c>
      <c r="DJ296" s="2"/>
    </row>
    <row r="297" spans="80:114" x14ac:dyDescent="0.3">
      <c r="CB297" s="18"/>
      <c r="CC297" s="19"/>
      <c r="CD297" s="19"/>
      <c r="CE297" s="19"/>
      <c r="CF297" s="19"/>
      <c r="CG297" s="19"/>
      <c r="CH297" s="19"/>
      <c r="CI297" s="20"/>
      <c r="CJ297" s="20"/>
      <c r="CN297" s="18"/>
      <c r="CO297" s="19"/>
      <c r="CP297" s="19"/>
      <c r="CQ297" s="19"/>
      <c r="CR297" s="19"/>
      <c r="CS297" s="19"/>
      <c r="CT297" s="19"/>
      <c r="CU297" s="20"/>
      <c r="CV297" s="20"/>
      <c r="DA297" s="18">
        <f t="shared" si="58"/>
        <v>0</v>
      </c>
      <c r="DB297" s="19">
        <f t="shared" si="59"/>
        <v>0</v>
      </c>
      <c r="DC297" s="19">
        <f t="shared" si="60"/>
        <v>0</v>
      </c>
      <c r="DD297" s="19">
        <f t="shared" si="61"/>
        <v>0</v>
      </c>
      <c r="DE297" s="19">
        <f t="shared" si="62"/>
        <v>0</v>
      </c>
      <c r="DF297" s="19">
        <f t="shared" si="63"/>
        <v>0</v>
      </c>
      <c r="DG297" s="19">
        <f t="shared" si="64"/>
        <v>0</v>
      </c>
      <c r="DH297" s="20">
        <f t="shared" si="65"/>
        <v>0</v>
      </c>
      <c r="DI297" s="20">
        <f t="shared" si="66"/>
        <v>0</v>
      </c>
      <c r="DJ297" s="2"/>
    </row>
    <row r="298" spans="80:114" x14ac:dyDescent="0.3">
      <c r="CB298" s="18"/>
      <c r="CC298" s="19"/>
      <c r="CD298" s="19"/>
      <c r="CE298" s="19"/>
      <c r="CF298" s="19"/>
      <c r="CG298" s="19"/>
      <c r="CH298" s="19"/>
      <c r="CI298" s="20"/>
      <c r="CJ298" s="20"/>
      <c r="CN298" s="18"/>
      <c r="CO298" s="19"/>
      <c r="CP298" s="19"/>
      <c r="CQ298" s="19"/>
      <c r="CR298" s="19"/>
      <c r="CS298" s="19"/>
      <c r="CT298" s="19"/>
      <c r="CU298" s="20"/>
      <c r="CV298" s="20"/>
      <c r="DA298" s="18">
        <f t="shared" si="58"/>
        <v>0</v>
      </c>
      <c r="DB298" s="19">
        <f t="shared" si="59"/>
        <v>0</v>
      </c>
      <c r="DC298" s="19">
        <f t="shared" si="60"/>
        <v>0</v>
      </c>
      <c r="DD298" s="19">
        <f t="shared" si="61"/>
        <v>0</v>
      </c>
      <c r="DE298" s="19">
        <f t="shared" si="62"/>
        <v>0</v>
      </c>
      <c r="DF298" s="19">
        <f t="shared" si="63"/>
        <v>0</v>
      </c>
      <c r="DG298" s="19">
        <f t="shared" si="64"/>
        <v>0</v>
      </c>
      <c r="DH298" s="20">
        <f t="shared" si="65"/>
        <v>0</v>
      </c>
      <c r="DI298" s="20">
        <f t="shared" si="66"/>
        <v>0</v>
      </c>
      <c r="DJ298" s="2"/>
    </row>
    <row r="299" spans="80:114" x14ac:dyDescent="0.3">
      <c r="CB299" s="18"/>
      <c r="CC299" s="19"/>
      <c r="CD299" s="19"/>
      <c r="CE299" s="19"/>
      <c r="CF299" s="19"/>
      <c r="CG299" s="19"/>
      <c r="CH299" s="19"/>
      <c r="CI299" s="20"/>
      <c r="CJ299" s="20"/>
      <c r="CN299" s="18"/>
      <c r="CO299" s="19"/>
      <c r="CP299" s="19"/>
      <c r="CQ299" s="19"/>
      <c r="CR299" s="19"/>
      <c r="CS299" s="19"/>
      <c r="CT299" s="19"/>
      <c r="CU299" s="20"/>
      <c r="CV299" s="20"/>
      <c r="DA299" s="18">
        <f t="shared" si="58"/>
        <v>0</v>
      </c>
      <c r="DB299" s="19">
        <f t="shared" si="59"/>
        <v>0</v>
      </c>
      <c r="DC299" s="19">
        <f t="shared" si="60"/>
        <v>0</v>
      </c>
      <c r="DD299" s="19">
        <f t="shared" si="61"/>
        <v>0</v>
      </c>
      <c r="DE299" s="19">
        <f t="shared" si="62"/>
        <v>0</v>
      </c>
      <c r="DF299" s="19">
        <f t="shared" si="63"/>
        <v>0</v>
      </c>
      <c r="DG299" s="19">
        <f t="shared" si="64"/>
        <v>0</v>
      </c>
      <c r="DH299" s="20">
        <f t="shared" si="65"/>
        <v>0</v>
      </c>
      <c r="DI299" s="20">
        <f t="shared" si="66"/>
        <v>0</v>
      </c>
      <c r="DJ299" s="2"/>
    </row>
    <row r="300" spans="80:114" x14ac:dyDescent="0.3">
      <c r="CB300" s="18"/>
      <c r="CC300" s="19"/>
      <c r="CD300" s="19"/>
      <c r="CE300" s="19"/>
      <c r="CF300" s="19"/>
      <c r="CG300" s="19"/>
      <c r="CH300" s="19"/>
      <c r="CI300" s="20"/>
      <c r="CJ300" s="20"/>
      <c r="CN300" s="18"/>
      <c r="CO300" s="19"/>
      <c r="CP300" s="19"/>
      <c r="CQ300" s="19"/>
      <c r="CR300" s="19"/>
      <c r="CS300" s="19"/>
      <c r="CT300" s="19"/>
      <c r="CU300" s="20"/>
      <c r="CV300" s="20"/>
      <c r="DA300" s="18">
        <f t="shared" si="58"/>
        <v>0</v>
      </c>
      <c r="DB300" s="19">
        <f t="shared" si="59"/>
        <v>0</v>
      </c>
      <c r="DC300" s="19">
        <f t="shared" si="60"/>
        <v>0</v>
      </c>
      <c r="DD300" s="19">
        <f t="shared" si="61"/>
        <v>0</v>
      </c>
      <c r="DE300" s="19">
        <f t="shared" si="62"/>
        <v>0</v>
      </c>
      <c r="DF300" s="19">
        <f t="shared" si="63"/>
        <v>0</v>
      </c>
      <c r="DG300" s="19">
        <f t="shared" si="64"/>
        <v>0</v>
      </c>
      <c r="DH300" s="20">
        <f t="shared" si="65"/>
        <v>0</v>
      </c>
      <c r="DI300" s="20">
        <f t="shared" si="66"/>
        <v>0</v>
      </c>
      <c r="DJ300" s="2"/>
    </row>
    <row r="301" spans="80:114" x14ac:dyDescent="0.3">
      <c r="CB301" s="18"/>
      <c r="CC301" s="19"/>
      <c r="CD301" s="19"/>
      <c r="CE301" s="19"/>
      <c r="CF301" s="19"/>
      <c r="CG301" s="19"/>
      <c r="CH301" s="19"/>
      <c r="CI301" s="20"/>
      <c r="CJ301" s="20"/>
      <c r="CN301" s="18"/>
      <c r="CO301" s="19"/>
      <c r="CP301" s="19"/>
      <c r="CQ301" s="19"/>
      <c r="CR301" s="19"/>
      <c r="CS301" s="19"/>
      <c r="CT301" s="19"/>
      <c r="CU301" s="20"/>
      <c r="CV301" s="20"/>
      <c r="DA301" s="18">
        <f t="shared" si="58"/>
        <v>0</v>
      </c>
      <c r="DB301" s="19">
        <f t="shared" si="59"/>
        <v>0</v>
      </c>
      <c r="DC301" s="19">
        <f t="shared" si="60"/>
        <v>0</v>
      </c>
      <c r="DD301" s="19">
        <f t="shared" si="61"/>
        <v>0</v>
      </c>
      <c r="DE301" s="19">
        <f t="shared" si="62"/>
        <v>0</v>
      </c>
      <c r="DF301" s="19">
        <f t="shared" si="63"/>
        <v>0</v>
      </c>
      <c r="DG301" s="19">
        <f t="shared" si="64"/>
        <v>0</v>
      </c>
      <c r="DH301" s="20">
        <f t="shared" si="65"/>
        <v>0</v>
      </c>
      <c r="DI301" s="20">
        <f t="shared" si="66"/>
        <v>0</v>
      </c>
      <c r="DJ301" s="2"/>
    </row>
    <row r="302" spans="80:114" x14ac:dyDescent="0.3">
      <c r="CB302" s="18"/>
      <c r="CC302" s="19"/>
      <c r="CD302" s="19"/>
      <c r="CE302" s="19"/>
      <c r="CF302" s="19"/>
      <c r="CG302" s="19"/>
      <c r="CH302" s="19"/>
      <c r="CI302" s="20"/>
      <c r="CJ302" s="20"/>
      <c r="CN302" s="18"/>
      <c r="CO302" s="19"/>
      <c r="CP302" s="19"/>
      <c r="CQ302" s="19"/>
      <c r="CR302" s="19"/>
      <c r="CS302" s="19"/>
      <c r="CT302" s="19"/>
      <c r="CU302" s="20"/>
      <c r="CV302" s="20"/>
      <c r="DA302" s="18">
        <f t="shared" si="58"/>
        <v>0</v>
      </c>
      <c r="DB302" s="19">
        <f t="shared" si="59"/>
        <v>0</v>
      </c>
      <c r="DC302" s="19">
        <f t="shared" si="60"/>
        <v>0</v>
      </c>
      <c r="DD302" s="19">
        <f t="shared" si="61"/>
        <v>0</v>
      </c>
      <c r="DE302" s="19">
        <f t="shared" si="62"/>
        <v>0</v>
      </c>
      <c r="DF302" s="19">
        <f t="shared" si="63"/>
        <v>0</v>
      </c>
      <c r="DG302" s="19">
        <f t="shared" si="64"/>
        <v>0</v>
      </c>
      <c r="DH302" s="20">
        <f t="shared" si="65"/>
        <v>0</v>
      </c>
      <c r="DI302" s="20">
        <f t="shared" si="66"/>
        <v>0</v>
      </c>
      <c r="DJ302" s="2"/>
    </row>
    <row r="303" spans="80:114" x14ac:dyDescent="0.3">
      <c r="CB303" s="18"/>
      <c r="CC303" s="19"/>
      <c r="CD303" s="19"/>
      <c r="CE303" s="19"/>
      <c r="CF303" s="19"/>
      <c r="CG303" s="19"/>
      <c r="CH303" s="19"/>
      <c r="CI303" s="20"/>
      <c r="CJ303" s="20"/>
      <c r="CN303" s="18"/>
      <c r="CO303" s="19"/>
      <c r="CP303" s="19"/>
      <c r="CQ303" s="19"/>
      <c r="CR303" s="19"/>
      <c r="CS303" s="19"/>
      <c r="CT303" s="19"/>
      <c r="CU303" s="20"/>
      <c r="CV303" s="20"/>
      <c r="DA303" s="18">
        <f t="shared" si="58"/>
        <v>0</v>
      </c>
      <c r="DB303" s="19">
        <f t="shared" si="59"/>
        <v>0</v>
      </c>
      <c r="DC303" s="19">
        <f t="shared" si="60"/>
        <v>0</v>
      </c>
      <c r="DD303" s="19">
        <f t="shared" si="61"/>
        <v>0</v>
      </c>
      <c r="DE303" s="19">
        <f t="shared" si="62"/>
        <v>0</v>
      </c>
      <c r="DF303" s="19">
        <f t="shared" si="63"/>
        <v>0</v>
      </c>
      <c r="DG303" s="19">
        <f t="shared" si="64"/>
        <v>0</v>
      </c>
      <c r="DH303" s="20">
        <f t="shared" si="65"/>
        <v>0</v>
      </c>
      <c r="DI303" s="20">
        <f t="shared" si="66"/>
        <v>0</v>
      </c>
      <c r="DJ303" s="2"/>
    </row>
    <row r="304" spans="80:114" x14ac:dyDescent="0.3">
      <c r="CB304" s="18"/>
      <c r="CC304" s="19"/>
      <c r="CD304" s="19"/>
      <c r="CE304" s="19"/>
      <c r="CF304" s="19"/>
      <c r="CG304" s="19"/>
      <c r="CH304" s="19"/>
      <c r="CI304" s="20"/>
      <c r="CJ304" s="20"/>
      <c r="CN304" s="18"/>
      <c r="CO304" s="19"/>
      <c r="CP304" s="19"/>
      <c r="CQ304" s="19"/>
      <c r="CR304" s="19"/>
      <c r="CS304" s="19"/>
      <c r="CT304" s="19"/>
      <c r="CU304" s="20"/>
      <c r="CV304" s="20"/>
      <c r="DA304" s="18">
        <f t="shared" si="58"/>
        <v>0</v>
      </c>
      <c r="DB304" s="19">
        <f t="shared" si="59"/>
        <v>0</v>
      </c>
      <c r="DC304" s="19">
        <f t="shared" si="60"/>
        <v>0</v>
      </c>
      <c r="DD304" s="19">
        <f t="shared" si="61"/>
        <v>0</v>
      </c>
      <c r="DE304" s="19">
        <f t="shared" si="62"/>
        <v>0</v>
      </c>
      <c r="DF304" s="19">
        <f t="shared" si="63"/>
        <v>0</v>
      </c>
      <c r="DG304" s="19">
        <f t="shared" si="64"/>
        <v>0</v>
      </c>
      <c r="DH304" s="20">
        <f t="shared" si="65"/>
        <v>0</v>
      </c>
      <c r="DI304" s="20">
        <f t="shared" si="66"/>
        <v>0</v>
      </c>
      <c r="DJ304" s="2"/>
    </row>
    <row r="305" spans="80:114" x14ac:dyDescent="0.3">
      <c r="CB305" s="18"/>
      <c r="CC305" s="19"/>
      <c r="CD305" s="19"/>
      <c r="CE305" s="19"/>
      <c r="CF305" s="19"/>
      <c r="CG305" s="19"/>
      <c r="CH305" s="19"/>
      <c r="CI305" s="20"/>
      <c r="CJ305" s="20"/>
      <c r="CN305" s="18"/>
      <c r="CO305" s="19"/>
      <c r="CP305" s="19"/>
      <c r="CQ305" s="19"/>
      <c r="CR305" s="19"/>
      <c r="CS305" s="19"/>
      <c r="CT305" s="19"/>
      <c r="CU305" s="20"/>
      <c r="CV305" s="20"/>
      <c r="DA305" s="18">
        <f t="shared" si="58"/>
        <v>0</v>
      </c>
      <c r="DB305" s="19">
        <f t="shared" si="59"/>
        <v>0</v>
      </c>
      <c r="DC305" s="19">
        <f t="shared" si="60"/>
        <v>0</v>
      </c>
      <c r="DD305" s="19">
        <f t="shared" si="61"/>
        <v>0</v>
      </c>
      <c r="DE305" s="19">
        <f t="shared" si="62"/>
        <v>0</v>
      </c>
      <c r="DF305" s="19">
        <f t="shared" si="63"/>
        <v>0</v>
      </c>
      <c r="DG305" s="19">
        <f t="shared" si="64"/>
        <v>0</v>
      </c>
      <c r="DH305" s="20">
        <f t="shared" si="65"/>
        <v>0</v>
      </c>
      <c r="DI305" s="20">
        <f t="shared" si="66"/>
        <v>0</v>
      </c>
      <c r="DJ305" s="2"/>
    </row>
    <row r="306" spans="80:114" x14ac:dyDescent="0.3">
      <c r="CB306" s="18"/>
      <c r="CC306" s="19"/>
      <c r="CD306" s="19"/>
      <c r="CE306" s="19"/>
      <c r="CF306" s="19"/>
      <c r="CG306" s="19"/>
      <c r="CH306" s="19"/>
      <c r="CI306" s="20"/>
      <c r="CJ306" s="20"/>
      <c r="CN306" s="18"/>
      <c r="CO306" s="19"/>
      <c r="CP306" s="19"/>
      <c r="CQ306" s="19"/>
      <c r="CR306" s="19"/>
      <c r="CS306" s="19"/>
      <c r="CT306" s="19"/>
      <c r="CU306" s="20"/>
      <c r="CV306" s="20"/>
      <c r="DA306" s="18">
        <f t="shared" si="58"/>
        <v>0</v>
      </c>
      <c r="DB306" s="19">
        <f t="shared" si="59"/>
        <v>0</v>
      </c>
      <c r="DC306" s="19">
        <f t="shared" si="60"/>
        <v>0</v>
      </c>
      <c r="DD306" s="19">
        <f t="shared" si="61"/>
        <v>0</v>
      </c>
      <c r="DE306" s="19">
        <f t="shared" si="62"/>
        <v>0</v>
      </c>
      <c r="DF306" s="19">
        <f t="shared" si="63"/>
        <v>0</v>
      </c>
      <c r="DG306" s="19">
        <f t="shared" si="64"/>
        <v>0</v>
      </c>
      <c r="DH306" s="20">
        <f t="shared" si="65"/>
        <v>0</v>
      </c>
      <c r="DI306" s="20">
        <f t="shared" si="66"/>
        <v>0</v>
      </c>
      <c r="DJ306" s="2"/>
    </row>
    <row r="307" spans="80:114" x14ac:dyDescent="0.3">
      <c r="CB307" s="18"/>
      <c r="CC307" s="19"/>
      <c r="CD307" s="19"/>
      <c r="CE307" s="19"/>
      <c r="CF307" s="19"/>
      <c r="CG307" s="19"/>
      <c r="CH307" s="19"/>
      <c r="CI307" s="20"/>
      <c r="CJ307" s="20"/>
      <c r="CN307" s="18"/>
      <c r="CO307" s="19"/>
      <c r="CP307" s="19"/>
      <c r="CQ307" s="19"/>
      <c r="CR307" s="19"/>
      <c r="CS307" s="19"/>
      <c r="CT307" s="19"/>
      <c r="CU307" s="20"/>
      <c r="CV307" s="20"/>
      <c r="DA307" s="18">
        <f t="shared" si="58"/>
        <v>0</v>
      </c>
      <c r="DB307" s="19">
        <f t="shared" si="59"/>
        <v>0</v>
      </c>
      <c r="DC307" s="19">
        <f t="shared" si="60"/>
        <v>0</v>
      </c>
      <c r="DD307" s="19">
        <f t="shared" si="61"/>
        <v>0</v>
      </c>
      <c r="DE307" s="19">
        <f t="shared" si="62"/>
        <v>0</v>
      </c>
      <c r="DF307" s="19">
        <f t="shared" si="63"/>
        <v>0</v>
      </c>
      <c r="DG307" s="19">
        <f t="shared" si="64"/>
        <v>0</v>
      </c>
      <c r="DH307" s="20">
        <f t="shared" si="65"/>
        <v>0</v>
      </c>
      <c r="DI307" s="20">
        <f t="shared" si="66"/>
        <v>0</v>
      </c>
      <c r="DJ307" s="2"/>
    </row>
    <row r="308" spans="80:114" x14ac:dyDescent="0.3">
      <c r="CB308" s="18"/>
      <c r="CC308" s="19"/>
      <c r="CD308" s="19"/>
      <c r="CE308" s="19"/>
      <c r="CF308" s="19"/>
      <c r="CG308" s="19"/>
      <c r="CH308" s="19"/>
      <c r="CI308" s="20"/>
      <c r="CJ308" s="20"/>
      <c r="CN308" s="18"/>
      <c r="CO308" s="19"/>
      <c r="CP308" s="19"/>
      <c r="CQ308" s="19"/>
      <c r="CR308" s="19"/>
      <c r="CS308" s="19"/>
      <c r="CT308" s="19"/>
      <c r="CU308" s="20"/>
      <c r="CV308" s="20"/>
      <c r="DA308" s="18">
        <f t="shared" si="58"/>
        <v>0</v>
      </c>
      <c r="DB308" s="19">
        <f t="shared" si="59"/>
        <v>0</v>
      </c>
      <c r="DC308" s="19">
        <f t="shared" si="60"/>
        <v>0</v>
      </c>
      <c r="DD308" s="19">
        <f t="shared" si="61"/>
        <v>0</v>
      </c>
      <c r="DE308" s="19">
        <f t="shared" si="62"/>
        <v>0</v>
      </c>
      <c r="DF308" s="19">
        <f t="shared" si="63"/>
        <v>0</v>
      </c>
      <c r="DG308" s="19">
        <f t="shared" si="64"/>
        <v>0</v>
      </c>
      <c r="DH308" s="20">
        <f t="shared" si="65"/>
        <v>0</v>
      </c>
      <c r="DI308" s="20">
        <f t="shared" si="66"/>
        <v>0</v>
      </c>
      <c r="DJ308" s="2"/>
    </row>
    <row r="309" spans="80:114" x14ac:dyDescent="0.3">
      <c r="CB309" s="18"/>
      <c r="CC309" s="19"/>
      <c r="CD309" s="19"/>
      <c r="CE309" s="19"/>
      <c r="CF309" s="19"/>
      <c r="CG309" s="19"/>
      <c r="CH309" s="19"/>
      <c r="CI309" s="20"/>
      <c r="CJ309" s="20"/>
      <c r="CN309" s="18"/>
      <c r="CO309" s="19"/>
      <c r="CP309" s="19"/>
      <c r="CQ309" s="19"/>
      <c r="CR309" s="19"/>
      <c r="CS309" s="19"/>
      <c r="CT309" s="19"/>
      <c r="CU309" s="20"/>
      <c r="CV309" s="20"/>
      <c r="DA309" s="18">
        <f t="shared" si="58"/>
        <v>0</v>
      </c>
      <c r="DB309" s="19">
        <f t="shared" si="59"/>
        <v>0</v>
      </c>
      <c r="DC309" s="19">
        <f t="shared" si="60"/>
        <v>0</v>
      </c>
      <c r="DD309" s="19">
        <f t="shared" si="61"/>
        <v>0</v>
      </c>
      <c r="DE309" s="19">
        <f t="shared" si="62"/>
        <v>0</v>
      </c>
      <c r="DF309" s="19">
        <f t="shared" si="63"/>
        <v>0</v>
      </c>
      <c r="DG309" s="19">
        <f t="shared" si="64"/>
        <v>0</v>
      </c>
      <c r="DH309" s="20">
        <f t="shared" si="65"/>
        <v>0</v>
      </c>
      <c r="DI309" s="20">
        <f t="shared" si="66"/>
        <v>0</v>
      </c>
      <c r="DJ309" s="2"/>
    </row>
    <row r="310" spans="80:114" x14ac:dyDescent="0.3">
      <c r="CB310" s="18"/>
      <c r="CC310" s="19"/>
      <c r="CD310" s="19"/>
      <c r="CE310" s="19"/>
      <c r="CF310" s="19"/>
      <c r="CG310" s="19"/>
      <c r="CH310" s="19"/>
      <c r="CI310" s="20"/>
      <c r="CJ310" s="20"/>
      <c r="CN310" s="18"/>
      <c r="CO310" s="19"/>
      <c r="CP310" s="19"/>
      <c r="CQ310" s="19"/>
      <c r="CR310" s="19"/>
      <c r="CS310" s="19"/>
      <c r="CT310" s="19"/>
      <c r="CU310" s="20"/>
      <c r="CV310" s="20"/>
      <c r="DA310" s="18">
        <f t="shared" si="58"/>
        <v>0</v>
      </c>
      <c r="DB310" s="19">
        <f t="shared" si="59"/>
        <v>0</v>
      </c>
      <c r="DC310" s="19">
        <f t="shared" si="60"/>
        <v>0</v>
      </c>
      <c r="DD310" s="19">
        <f t="shared" si="61"/>
        <v>0</v>
      </c>
      <c r="DE310" s="19">
        <f t="shared" si="62"/>
        <v>0</v>
      </c>
      <c r="DF310" s="19">
        <f t="shared" si="63"/>
        <v>0</v>
      </c>
      <c r="DG310" s="19">
        <f t="shared" si="64"/>
        <v>0</v>
      </c>
      <c r="DH310" s="20">
        <f t="shared" si="65"/>
        <v>0</v>
      </c>
      <c r="DI310" s="20">
        <f t="shared" si="66"/>
        <v>0</v>
      </c>
      <c r="DJ310" s="2"/>
    </row>
    <row r="311" spans="80:114" x14ac:dyDescent="0.3">
      <c r="CB311" s="18"/>
      <c r="CC311" s="19"/>
      <c r="CD311" s="19"/>
      <c r="CE311" s="19"/>
      <c r="CF311" s="19"/>
      <c r="CG311" s="19"/>
      <c r="CH311" s="19"/>
      <c r="CI311" s="20"/>
      <c r="CJ311" s="20"/>
      <c r="CN311" s="18"/>
      <c r="CO311" s="19"/>
      <c r="CP311" s="19"/>
      <c r="CQ311" s="19"/>
      <c r="CR311" s="19"/>
      <c r="CS311" s="19"/>
      <c r="CT311" s="19"/>
      <c r="CU311" s="20"/>
      <c r="CV311" s="20"/>
      <c r="DA311" s="18">
        <f t="shared" si="58"/>
        <v>0</v>
      </c>
      <c r="DB311" s="19">
        <f t="shared" si="59"/>
        <v>0</v>
      </c>
      <c r="DC311" s="19">
        <f t="shared" si="60"/>
        <v>0</v>
      </c>
      <c r="DD311" s="19">
        <f t="shared" si="61"/>
        <v>0</v>
      </c>
      <c r="DE311" s="19">
        <f t="shared" si="62"/>
        <v>0</v>
      </c>
      <c r="DF311" s="19">
        <f t="shared" si="63"/>
        <v>0</v>
      </c>
      <c r="DG311" s="19">
        <f t="shared" si="64"/>
        <v>0</v>
      </c>
      <c r="DH311" s="20">
        <f t="shared" si="65"/>
        <v>0</v>
      </c>
      <c r="DI311" s="20">
        <f t="shared" si="66"/>
        <v>0</v>
      </c>
      <c r="DJ311" s="2"/>
    </row>
    <row r="312" spans="80:114" x14ac:dyDescent="0.3">
      <c r="CB312" s="18"/>
      <c r="CC312" s="19"/>
      <c r="CD312" s="19"/>
      <c r="CE312" s="19"/>
      <c r="CF312" s="19"/>
      <c r="CG312" s="19"/>
      <c r="CH312" s="19"/>
      <c r="CI312" s="20"/>
      <c r="CJ312" s="20"/>
      <c r="CN312" s="18"/>
      <c r="CO312" s="19"/>
      <c r="CP312" s="19"/>
      <c r="CQ312" s="19"/>
      <c r="CR312" s="19"/>
      <c r="CS312" s="19"/>
      <c r="CT312" s="19"/>
      <c r="CU312" s="20"/>
      <c r="CV312" s="20"/>
      <c r="DA312" s="18">
        <f t="shared" si="58"/>
        <v>0</v>
      </c>
      <c r="DB312" s="19">
        <f t="shared" si="59"/>
        <v>0</v>
      </c>
      <c r="DC312" s="19">
        <f t="shared" si="60"/>
        <v>0</v>
      </c>
      <c r="DD312" s="19">
        <f t="shared" si="61"/>
        <v>0</v>
      </c>
      <c r="DE312" s="19">
        <f t="shared" si="62"/>
        <v>0</v>
      </c>
      <c r="DF312" s="19">
        <f t="shared" si="63"/>
        <v>0</v>
      </c>
      <c r="DG312" s="19">
        <f t="shared" si="64"/>
        <v>0</v>
      </c>
      <c r="DH312" s="20">
        <f t="shared" si="65"/>
        <v>0</v>
      </c>
      <c r="DI312" s="20">
        <f t="shared" si="66"/>
        <v>0</v>
      </c>
      <c r="DJ312" s="2"/>
    </row>
    <row r="313" spans="80:114" x14ac:dyDescent="0.3">
      <c r="CB313" s="18"/>
      <c r="CC313" s="19"/>
      <c r="CD313" s="19"/>
      <c r="CE313" s="19"/>
      <c r="CF313" s="19"/>
      <c r="CG313" s="19"/>
      <c r="CH313" s="19"/>
      <c r="CI313" s="20"/>
      <c r="CJ313" s="20"/>
      <c r="CN313" s="18"/>
      <c r="CO313" s="19"/>
      <c r="CP313" s="19"/>
      <c r="CQ313" s="19"/>
      <c r="CR313" s="19"/>
      <c r="CS313" s="19"/>
      <c r="CT313" s="19"/>
      <c r="CU313" s="20"/>
      <c r="CV313" s="20"/>
      <c r="DA313" s="18">
        <f t="shared" si="58"/>
        <v>0</v>
      </c>
      <c r="DB313" s="19">
        <f t="shared" si="59"/>
        <v>0</v>
      </c>
      <c r="DC313" s="19">
        <f t="shared" si="60"/>
        <v>0</v>
      </c>
      <c r="DD313" s="19">
        <f t="shared" si="61"/>
        <v>0</v>
      </c>
      <c r="DE313" s="19">
        <f t="shared" si="62"/>
        <v>0</v>
      </c>
      <c r="DF313" s="19">
        <f t="shared" si="63"/>
        <v>0</v>
      </c>
      <c r="DG313" s="19">
        <f t="shared" si="64"/>
        <v>0</v>
      </c>
      <c r="DH313" s="20">
        <f t="shared" si="65"/>
        <v>0</v>
      </c>
      <c r="DI313" s="20">
        <f t="shared" si="66"/>
        <v>0</v>
      </c>
      <c r="DJ313" s="2"/>
    </row>
    <row r="314" spans="80:114" x14ac:dyDescent="0.3">
      <c r="CB314" s="18"/>
      <c r="CC314" s="19"/>
      <c r="CD314" s="19"/>
      <c r="CE314" s="19"/>
      <c r="CF314" s="19"/>
      <c r="CG314" s="19"/>
      <c r="CH314" s="19"/>
      <c r="CI314" s="20"/>
      <c r="CJ314" s="20"/>
      <c r="CN314" s="18"/>
      <c r="CO314" s="19"/>
      <c r="CP314" s="19"/>
      <c r="CQ314" s="19"/>
      <c r="CR314" s="19"/>
      <c r="CS314" s="19"/>
      <c r="CT314" s="19"/>
      <c r="CU314" s="20"/>
      <c r="CV314" s="20"/>
      <c r="DA314" s="18">
        <f t="shared" si="58"/>
        <v>0</v>
      </c>
      <c r="DB314" s="19">
        <f t="shared" si="59"/>
        <v>0</v>
      </c>
      <c r="DC314" s="19">
        <f t="shared" si="60"/>
        <v>0</v>
      </c>
      <c r="DD314" s="19">
        <f t="shared" si="61"/>
        <v>0</v>
      </c>
      <c r="DE314" s="19">
        <f t="shared" si="62"/>
        <v>0</v>
      </c>
      <c r="DF314" s="19">
        <f t="shared" si="63"/>
        <v>0</v>
      </c>
      <c r="DG314" s="19">
        <f t="shared" si="64"/>
        <v>0</v>
      </c>
      <c r="DH314" s="20">
        <f t="shared" si="65"/>
        <v>0</v>
      </c>
      <c r="DI314" s="20">
        <f t="shared" si="66"/>
        <v>0</v>
      </c>
      <c r="DJ314" s="2"/>
    </row>
    <row r="315" spans="80:114" x14ac:dyDescent="0.3">
      <c r="CB315" s="18"/>
      <c r="CC315" s="19"/>
      <c r="CD315" s="19"/>
      <c r="CE315" s="19"/>
      <c r="CF315" s="19"/>
      <c r="CG315" s="19"/>
      <c r="CH315" s="19"/>
      <c r="CI315" s="20"/>
      <c r="CJ315" s="20"/>
      <c r="CN315" s="18"/>
      <c r="CO315" s="19"/>
      <c r="CP315" s="19"/>
      <c r="CQ315" s="19"/>
      <c r="CR315" s="19"/>
      <c r="CS315" s="19"/>
      <c r="CT315" s="19"/>
      <c r="CU315" s="20"/>
      <c r="CV315" s="20"/>
      <c r="DA315" s="18">
        <f t="shared" si="58"/>
        <v>0</v>
      </c>
      <c r="DB315" s="19">
        <f t="shared" si="59"/>
        <v>0</v>
      </c>
      <c r="DC315" s="19">
        <f t="shared" si="60"/>
        <v>0</v>
      </c>
      <c r="DD315" s="19">
        <f t="shared" si="61"/>
        <v>0</v>
      </c>
      <c r="DE315" s="19">
        <f t="shared" si="62"/>
        <v>0</v>
      </c>
      <c r="DF315" s="19">
        <f t="shared" si="63"/>
        <v>0</v>
      </c>
      <c r="DG315" s="19">
        <f t="shared" si="64"/>
        <v>0</v>
      </c>
      <c r="DH315" s="20">
        <f t="shared" si="65"/>
        <v>0</v>
      </c>
      <c r="DI315" s="20">
        <f t="shared" si="66"/>
        <v>0</v>
      </c>
      <c r="DJ315" s="2"/>
    </row>
    <row r="316" spans="80:114" x14ac:dyDescent="0.3">
      <c r="CB316" s="18"/>
      <c r="CC316" s="19"/>
      <c r="CD316" s="19"/>
      <c r="CE316" s="19"/>
      <c r="CF316" s="19"/>
      <c r="CG316" s="19"/>
      <c r="CH316" s="19"/>
      <c r="CI316" s="20"/>
      <c r="CJ316" s="20"/>
      <c r="CN316" s="18"/>
      <c r="CO316" s="19"/>
      <c r="CP316" s="19"/>
      <c r="CQ316" s="19"/>
      <c r="CR316" s="19"/>
      <c r="CS316" s="19"/>
      <c r="CT316" s="19"/>
      <c r="CU316" s="20"/>
      <c r="CV316" s="20"/>
      <c r="DA316" s="18">
        <f t="shared" si="58"/>
        <v>0</v>
      </c>
      <c r="DB316" s="19">
        <f t="shared" si="59"/>
        <v>0</v>
      </c>
      <c r="DC316" s="19">
        <f t="shared" si="60"/>
        <v>0</v>
      </c>
      <c r="DD316" s="19">
        <f t="shared" si="61"/>
        <v>0</v>
      </c>
      <c r="DE316" s="19">
        <f t="shared" si="62"/>
        <v>0</v>
      </c>
      <c r="DF316" s="19">
        <f t="shared" si="63"/>
        <v>0</v>
      </c>
      <c r="DG316" s="19">
        <f t="shared" si="64"/>
        <v>0</v>
      </c>
      <c r="DH316" s="20">
        <f t="shared" si="65"/>
        <v>0</v>
      </c>
      <c r="DI316" s="20">
        <f t="shared" si="66"/>
        <v>0</v>
      </c>
      <c r="DJ316" s="2"/>
    </row>
    <row r="317" spans="80:114" x14ac:dyDescent="0.3">
      <c r="CB317" s="18"/>
      <c r="CC317" s="19"/>
      <c r="CD317" s="19"/>
      <c r="CE317" s="19"/>
      <c r="CF317" s="19"/>
      <c r="CG317" s="19"/>
      <c r="CH317" s="19"/>
      <c r="CI317" s="20"/>
      <c r="CJ317" s="20"/>
      <c r="CN317" s="18"/>
      <c r="CO317" s="19"/>
      <c r="CP317" s="19"/>
      <c r="CQ317" s="19"/>
      <c r="CR317" s="19"/>
      <c r="CS317" s="19"/>
      <c r="CT317" s="19"/>
      <c r="CU317" s="20"/>
      <c r="CV317" s="20"/>
      <c r="DA317" s="18">
        <f t="shared" si="58"/>
        <v>0</v>
      </c>
      <c r="DB317" s="19">
        <f t="shared" si="59"/>
        <v>0</v>
      </c>
      <c r="DC317" s="19">
        <f t="shared" si="60"/>
        <v>0</v>
      </c>
      <c r="DD317" s="19">
        <f t="shared" si="61"/>
        <v>0</v>
      </c>
      <c r="DE317" s="19">
        <f t="shared" si="62"/>
        <v>0</v>
      </c>
      <c r="DF317" s="19">
        <f t="shared" si="63"/>
        <v>0</v>
      </c>
      <c r="DG317" s="19">
        <f t="shared" si="64"/>
        <v>0</v>
      </c>
      <c r="DH317" s="20">
        <f t="shared" si="65"/>
        <v>0</v>
      </c>
      <c r="DI317" s="20">
        <f t="shared" si="66"/>
        <v>0</v>
      </c>
      <c r="DJ317" s="2"/>
    </row>
    <row r="318" spans="80:114" x14ac:dyDescent="0.3">
      <c r="CB318" s="18"/>
      <c r="CC318" s="19"/>
      <c r="CD318" s="19"/>
      <c r="CE318" s="19"/>
      <c r="CF318" s="19"/>
      <c r="CG318" s="19"/>
      <c r="CH318" s="19"/>
      <c r="CI318" s="20"/>
      <c r="CJ318" s="20"/>
      <c r="CN318" s="18"/>
      <c r="CO318" s="19"/>
      <c r="CP318" s="19"/>
      <c r="CQ318" s="19"/>
      <c r="CR318" s="19"/>
      <c r="CS318" s="19"/>
      <c r="CT318" s="19"/>
      <c r="CU318" s="20"/>
      <c r="CV318" s="20"/>
      <c r="DA318" s="18">
        <f t="shared" si="58"/>
        <v>0</v>
      </c>
      <c r="DB318" s="19">
        <f t="shared" si="59"/>
        <v>0</v>
      </c>
      <c r="DC318" s="19">
        <f t="shared" si="60"/>
        <v>0</v>
      </c>
      <c r="DD318" s="19">
        <f t="shared" si="61"/>
        <v>0</v>
      </c>
      <c r="DE318" s="19">
        <f t="shared" si="62"/>
        <v>0</v>
      </c>
      <c r="DF318" s="19">
        <f t="shared" si="63"/>
        <v>0</v>
      </c>
      <c r="DG318" s="19">
        <f t="shared" si="64"/>
        <v>0</v>
      </c>
      <c r="DH318" s="20">
        <f t="shared" si="65"/>
        <v>0</v>
      </c>
      <c r="DI318" s="20">
        <f t="shared" si="66"/>
        <v>0</v>
      </c>
      <c r="DJ318" s="2"/>
    </row>
    <row r="319" spans="80:114" x14ac:dyDescent="0.3">
      <c r="CB319" s="18"/>
      <c r="CC319" s="19"/>
      <c r="CD319" s="19"/>
      <c r="CE319" s="19"/>
      <c r="CF319" s="19"/>
      <c r="CG319" s="19"/>
      <c r="CH319" s="19"/>
      <c r="CI319" s="20"/>
      <c r="CJ319" s="20"/>
      <c r="CN319" s="18"/>
      <c r="CO319" s="19"/>
      <c r="CP319" s="19"/>
      <c r="CQ319" s="19"/>
      <c r="CR319" s="19"/>
      <c r="CS319" s="19"/>
      <c r="CT319" s="19"/>
      <c r="CU319" s="20"/>
      <c r="CV319" s="20"/>
      <c r="DA319" s="18">
        <f t="shared" si="58"/>
        <v>0</v>
      </c>
      <c r="DB319" s="19">
        <f t="shared" si="59"/>
        <v>0</v>
      </c>
      <c r="DC319" s="19">
        <f t="shared" si="60"/>
        <v>0</v>
      </c>
      <c r="DD319" s="19">
        <f t="shared" si="61"/>
        <v>0</v>
      </c>
      <c r="DE319" s="19">
        <f t="shared" si="62"/>
        <v>0</v>
      </c>
      <c r="DF319" s="19">
        <f t="shared" si="63"/>
        <v>0</v>
      </c>
      <c r="DG319" s="19">
        <f t="shared" si="64"/>
        <v>0</v>
      </c>
      <c r="DH319" s="20">
        <f t="shared" si="65"/>
        <v>0</v>
      </c>
      <c r="DI319" s="20">
        <f t="shared" si="66"/>
        <v>0</v>
      </c>
      <c r="DJ319" s="2"/>
    </row>
    <row r="320" spans="80:114" x14ac:dyDescent="0.3">
      <c r="CB320" s="18"/>
      <c r="CC320" s="19"/>
      <c r="CD320" s="19"/>
      <c r="CE320" s="19"/>
      <c r="CF320" s="19"/>
      <c r="CG320" s="19"/>
      <c r="CH320" s="19"/>
      <c r="CI320" s="20"/>
      <c r="CJ320" s="20"/>
      <c r="CN320" s="18"/>
      <c r="CO320" s="19"/>
      <c r="CP320" s="19"/>
      <c r="CQ320" s="19"/>
      <c r="CR320" s="19"/>
      <c r="CS320" s="19"/>
      <c r="CT320" s="19"/>
      <c r="CU320" s="20"/>
      <c r="CV320" s="20"/>
      <c r="DA320" s="18">
        <f t="shared" si="58"/>
        <v>0</v>
      </c>
      <c r="DB320" s="19">
        <f t="shared" si="59"/>
        <v>0</v>
      </c>
      <c r="DC320" s="19">
        <f t="shared" si="60"/>
        <v>0</v>
      </c>
      <c r="DD320" s="19">
        <f t="shared" si="61"/>
        <v>0</v>
      </c>
      <c r="DE320" s="19">
        <f t="shared" si="62"/>
        <v>0</v>
      </c>
      <c r="DF320" s="19">
        <f t="shared" si="63"/>
        <v>0</v>
      </c>
      <c r="DG320" s="19">
        <f t="shared" si="64"/>
        <v>0</v>
      </c>
      <c r="DH320" s="20">
        <f t="shared" si="65"/>
        <v>0</v>
      </c>
      <c r="DI320" s="20">
        <f t="shared" si="66"/>
        <v>0</v>
      </c>
      <c r="DJ320" s="2"/>
    </row>
    <row r="321" spans="80:114" x14ac:dyDescent="0.3">
      <c r="CB321" s="18"/>
      <c r="CC321" s="19"/>
      <c r="CD321" s="19"/>
      <c r="CE321" s="19"/>
      <c r="CF321" s="19"/>
      <c r="CG321" s="19"/>
      <c r="CH321" s="19"/>
      <c r="CI321" s="20"/>
      <c r="CJ321" s="20"/>
      <c r="CN321" s="18"/>
      <c r="CO321" s="19"/>
      <c r="CP321" s="19"/>
      <c r="CQ321" s="19"/>
      <c r="CR321" s="19"/>
      <c r="CS321" s="19"/>
      <c r="CT321" s="19"/>
      <c r="CU321" s="20"/>
      <c r="CV321" s="20"/>
      <c r="DA321" s="18">
        <f t="shared" si="58"/>
        <v>0</v>
      </c>
      <c r="DB321" s="19">
        <f t="shared" si="59"/>
        <v>0</v>
      </c>
      <c r="DC321" s="19">
        <f t="shared" si="60"/>
        <v>0</v>
      </c>
      <c r="DD321" s="19">
        <f t="shared" si="61"/>
        <v>0</v>
      </c>
      <c r="DE321" s="19">
        <f t="shared" si="62"/>
        <v>0</v>
      </c>
      <c r="DF321" s="19">
        <f t="shared" si="63"/>
        <v>0</v>
      </c>
      <c r="DG321" s="19">
        <f t="shared" si="64"/>
        <v>0</v>
      </c>
      <c r="DH321" s="20">
        <f t="shared" si="65"/>
        <v>0</v>
      </c>
      <c r="DI321" s="20">
        <f t="shared" si="66"/>
        <v>0</v>
      </c>
      <c r="DJ321" s="2"/>
    </row>
    <row r="322" spans="80:114" x14ac:dyDescent="0.3">
      <c r="CB322" s="18"/>
      <c r="CC322" s="19"/>
      <c r="CD322" s="19"/>
      <c r="CE322" s="19"/>
      <c r="CF322" s="19"/>
      <c r="CG322" s="19"/>
      <c r="CH322" s="19"/>
      <c r="CI322" s="20"/>
      <c r="CJ322" s="20"/>
      <c r="CN322" s="18"/>
      <c r="CO322" s="19"/>
      <c r="CP322" s="19"/>
      <c r="CQ322" s="19"/>
      <c r="CR322" s="19"/>
      <c r="CS322" s="19"/>
      <c r="CT322" s="19"/>
      <c r="CU322" s="20"/>
      <c r="CV322" s="20"/>
      <c r="DA322" s="18">
        <f t="shared" si="58"/>
        <v>0</v>
      </c>
      <c r="DB322" s="19">
        <f t="shared" si="59"/>
        <v>0</v>
      </c>
      <c r="DC322" s="19">
        <f t="shared" si="60"/>
        <v>0</v>
      </c>
      <c r="DD322" s="19">
        <f t="shared" si="61"/>
        <v>0</v>
      </c>
      <c r="DE322" s="19">
        <f t="shared" si="62"/>
        <v>0</v>
      </c>
      <c r="DF322" s="19">
        <f t="shared" si="63"/>
        <v>0</v>
      </c>
      <c r="DG322" s="19">
        <f t="shared" si="64"/>
        <v>0</v>
      </c>
      <c r="DH322" s="20">
        <f t="shared" si="65"/>
        <v>0</v>
      </c>
      <c r="DI322" s="20">
        <f t="shared" si="66"/>
        <v>0</v>
      </c>
      <c r="DJ322" s="2"/>
    </row>
    <row r="323" spans="80:114" x14ac:dyDescent="0.3">
      <c r="CB323" s="18"/>
      <c r="CC323" s="19"/>
      <c r="CD323" s="19"/>
      <c r="CE323" s="19"/>
      <c r="CF323" s="19"/>
      <c r="CG323" s="19"/>
      <c r="CH323" s="19"/>
      <c r="CI323" s="20"/>
      <c r="CJ323" s="20"/>
      <c r="CN323" s="18"/>
      <c r="CO323" s="19"/>
      <c r="CP323" s="19"/>
      <c r="CQ323" s="19"/>
      <c r="CR323" s="19"/>
      <c r="CS323" s="19"/>
      <c r="CT323" s="19"/>
      <c r="CU323" s="20"/>
      <c r="CV323" s="20"/>
      <c r="DA323" s="18">
        <f t="shared" ref="DA323:DA386" si="67">IF($BZ$2=1,CN323,CB323)</f>
        <v>0</v>
      </c>
      <c r="DB323" s="19">
        <f t="shared" ref="DB323:DB386" si="68">IF($BZ$2=1,CO323,CC323)</f>
        <v>0</v>
      </c>
      <c r="DC323" s="19">
        <f t="shared" ref="DC323:DC386" si="69">IF($BZ$2=1,CP323,CD323)</f>
        <v>0</v>
      </c>
      <c r="DD323" s="19">
        <f t="shared" ref="DD323:DD386" si="70">IF($BZ$2=1,CQ323,CE323)</f>
        <v>0</v>
      </c>
      <c r="DE323" s="19">
        <f t="shared" ref="DE323:DE386" si="71">IF($BZ$2=1,CR323,CF323)</f>
        <v>0</v>
      </c>
      <c r="DF323" s="19">
        <f t="shared" ref="DF323:DF386" si="72">IF($BZ$2=1,CS323,CG323)</f>
        <v>0</v>
      </c>
      <c r="DG323" s="19">
        <f t="shared" ref="DG323:DG386" si="73">IF($BZ$2=1,CT323,CH323)</f>
        <v>0</v>
      </c>
      <c r="DH323" s="20">
        <f t="shared" ref="DH323:DH386" si="74">IF($BZ$2=1,CU323,CI323)</f>
        <v>0</v>
      </c>
      <c r="DI323" s="20">
        <f t="shared" ref="DI323:DI386" si="75">IF($BZ$2=1,CV323,CJ323)</f>
        <v>0</v>
      </c>
      <c r="DJ323" s="2"/>
    </row>
    <row r="324" spans="80:114" x14ac:dyDescent="0.3">
      <c r="CB324" s="18"/>
      <c r="CC324" s="19"/>
      <c r="CD324" s="19"/>
      <c r="CE324" s="19"/>
      <c r="CF324" s="19"/>
      <c r="CG324" s="19"/>
      <c r="CH324" s="19"/>
      <c r="CI324" s="20"/>
      <c r="CJ324" s="20"/>
      <c r="CN324" s="18"/>
      <c r="CO324" s="19"/>
      <c r="CP324" s="19"/>
      <c r="CQ324" s="19"/>
      <c r="CR324" s="19"/>
      <c r="CS324" s="19"/>
      <c r="CT324" s="19"/>
      <c r="CU324" s="20"/>
      <c r="CV324" s="20"/>
      <c r="DA324" s="18">
        <f t="shared" si="67"/>
        <v>0</v>
      </c>
      <c r="DB324" s="19">
        <f t="shared" si="68"/>
        <v>0</v>
      </c>
      <c r="DC324" s="19">
        <f t="shared" si="69"/>
        <v>0</v>
      </c>
      <c r="DD324" s="19">
        <f t="shared" si="70"/>
        <v>0</v>
      </c>
      <c r="DE324" s="19">
        <f t="shared" si="71"/>
        <v>0</v>
      </c>
      <c r="DF324" s="19">
        <f t="shared" si="72"/>
        <v>0</v>
      </c>
      <c r="DG324" s="19">
        <f t="shared" si="73"/>
        <v>0</v>
      </c>
      <c r="DH324" s="20">
        <f t="shared" si="74"/>
        <v>0</v>
      </c>
      <c r="DI324" s="20">
        <f t="shared" si="75"/>
        <v>0</v>
      </c>
      <c r="DJ324" s="2"/>
    </row>
    <row r="325" spans="80:114" x14ac:dyDescent="0.3">
      <c r="CB325" s="18"/>
      <c r="CC325" s="19"/>
      <c r="CD325" s="19"/>
      <c r="CE325" s="19"/>
      <c r="CF325" s="19"/>
      <c r="CG325" s="19"/>
      <c r="CH325" s="19"/>
      <c r="CI325" s="20"/>
      <c r="CJ325" s="20"/>
      <c r="CN325" s="18"/>
      <c r="CO325" s="19"/>
      <c r="CP325" s="19"/>
      <c r="CQ325" s="19"/>
      <c r="CR325" s="19"/>
      <c r="CS325" s="19"/>
      <c r="CT325" s="19"/>
      <c r="CU325" s="20"/>
      <c r="CV325" s="20"/>
      <c r="DA325" s="18">
        <f t="shared" si="67"/>
        <v>0</v>
      </c>
      <c r="DB325" s="19">
        <f t="shared" si="68"/>
        <v>0</v>
      </c>
      <c r="DC325" s="19">
        <f t="shared" si="69"/>
        <v>0</v>
      </c>
      <c r="DD325" s="19">
        <f t="shared" si="70"/>
        <v>0</v>
      </c>
      <c r="DE325" s="19">
        <f t="shared" si="71"/>
        <v>0</v>
      </c>
      <c r="DF325" s="19">
        <f t="shared" si="72"/>
        <v>0</v>
      </c>
      <c r="DG325" s="19">
        <f t="shared" si="73"/>
        <v>0</v>
      </c>
      <c r="DH325" s="20">
        <f t="shared" si="74"/>
        <v>0</v>
      </c>
      <c r="DI325" s="20">
        <f t="shared" si="75"/>
        <v>0</v>
      </c>
      <c r="DJ325" s="2"/>
    </row>
    <row r="326" spans="80:114" x14ac:dyDescent="0.3">
      <c r="CB326" s="18"/>
      <c r="CC326" s="19"/>
      <c r="CD326" s="19"/>
      <c r="CE326" s="19"/>
      <c r="CF326" s="19"/>
      <c r="CG326" s="19"/>
      <c r="CH326" s="19"/>
      <c r="CI326" s="20"/>
      <c r="CJ326" s="20"/>
      <c r="CN326" s="18"/>
      <c r="CO326" s="19"/>
      <c r="CP326" s="19"/>
      <c r="CQ326" s="19"/>
      <c r="CR326" s="19"/>
      <c r="CS326" s="19"/>
      <c r="CT326" s="19"/>
      <c r="CU326" s="20"/>
      <c r="CV326" s="20"/>
      <c r="DA326" s="18">
        <f t="shared" si="67"/>
        <v>0</v>
      </c>
      <c r="DB326" s="19">
        <f t="shared" si="68"/>
        <v>0</v>
      </c>
      <c r="DC326" s="19">
        <f t="shared" si="69"/>
        <v>0</v>
      </c>
      <c r="DD326" s="19">
        <f t="shared" si="70"/>
        <v>0</v>
      </c>
      <c r="DE326" s="19">
        <f t="shared" si="71"/>
        <v>0</v>
      </c>
      <c r="DF326" s="19">
        <f t="shared" si="72"/>
        <v>0</v>
      </c>
      <c r="DG326" s="19">
        <f t="shared" si="73"/>
        <v>0</v>
      </c>
      <c r="DH326" s="20">
        <f t="shared" si="74"/>
        <v>0</v>
      </c>
      <c r="DI326" s="20">
        <f t="shared" si="75"/>
        <v>0</v>
      </c>
      <c r="DJ326" s="2"/>
    </row>
    <row r="327" spans="80:114" x14ac:dyDescent="0.3">
      <c r="CB327" s="18"/>
      <c r="CC327" s="19"/>
      <c r="CD327" s="19"/>
      <c r="CE327" s="19"/>
      <c r="CF327" s="19"/>
      <c r="CG327" s="19"/>
      <c r="CH327" s="19"/>
      <c r="CI327" s="20"/>
      <c r="CJ327" s="20"/>
      <c r="CN327" s="18"/>
      <c r="CO327" s="19"/>
      <c r="CP327" s="19"/>
      <c r="CQ327" s="19"/>
      <c r="CR327" s="19"/>
      <c r="CS327" s="19"/>
      <c r="CT327" s="19"/>
      <c r="CU327" s="20"/>
      <c r="CV327" s="20"/>
      <c r="DA327" s="18">
        <f t="shared" si="67"/>
        <v>0</v>
      </c>
      <c r="DB327" s="19">
        <f t="shared" si="68"/>
        <v>0</v>
      </c>
      <c r="DC327" s="19">
        <f t="shared" si="69"/>
        <v>0</v>
      </c>
      <c r="DD327" s="19">
        <f t="shared" si="70"/>
        <v>0</v>
      </c>
      <c r="DE327" s="19">
        <f t="shared" si="71"/>
        <v>0</v>
      </c>
      <c r="DF327" s="19">
        <f t="shared" si="72"/>
        <v>0</v>
      </c>
      <c r="DG327" s="19">
        <f t="shared" si="73"/>
        <v>0</v>
      </c>
      <c r="DH327" s="20">
        <f t="shared" si="74"/>
        <v>0</v>
      </c>
      <c r="DI327" s="20">
        <f t="shared" si="75"/>
        <v>0</v>
      </c>
      <c r="DJ327" s="2"/>
    </row>
    <row r="328" spans="80:114" x14ac:dyDescent="0.3">
      <c r="CB328" s="18"/>
      <c r="CC328" s="19"/>
      <c r="CD328" s="19"/>
      <c r="CE328" s="19"/>
      <c r="CF328" s="19"/>
      <c r="CG328" s="19"/>
      <c r="CH328" s="19"/>
      <c r="CI328" s="20"/>
      <c r="CJ328" s="20"/>
      <c r="CN328" s="18"/>
      <c r="CO328" s="19"/>
      <c r="CP328" s="19"/>
      <c r="CQ328" s="19"/>
      <c r="CR328" s="19"/>
      <c r="CS328" s="19"/>
      <c r="CT328" s="19"/>
      <c r="CU328" s="20"/>
      <c r="CV328" s="20"/>
      <c r="DA328" s="18">
        <f t="shared" si="67"/>
        <v>0</v>
      </c>
      <c r="DB328" s="19">
        <f t="shared" si="68"/>
        <v>0</v>
      </c>
      <c r="DC328" s="19">
        <f t="shared" si="69"/>
        <v>0</v>
      </c>
      <c r="DD328" s="19">
        <f t="shared" si="70"/>
        <v>0</v>
      </c>
      <c r="DE328" s="19">
        <f t="shared" si="71"/>
        <v>0</v>
      </c>
      <c r="DF328" s="19">
        <f t="shared" si="72"/>
        <v>0</v>
      </c>
      <c r="DG328" s="19">
        <f t="shared" si="73"/>
        <v>0</v>
      </c>
      <c r="DH328" s="20">
        <f t="shared" si="74"/>
        <v>0</v>
      </c>
      <c r="DI328" s="20">
        <f t="shared" si="75"/>
        <v>0</v>
      </c>
      <c r="DJ328" s="2"/>
    </row>
    <row r="329" spans="80:114" x14ac:dyDescent="0.3">
      <c r="CB329" s="18"/>
      <c r="CC329" s="19"/>
      <c r="CD329" s="19"/>
      <c r="CE329" s="19"/>
      <c r="CF329" s="19"/>
      <c r="CG329" s="19"/>
      <c r="CH329" s="19"/>
      <c r="CI329" s="20"/>
      <c r="CJ329" s="20"/>
      <c r="CN329" s="18"/>
      <c r="CO329" s="19"/>
      <c r="CP329" s="19"/>
      <c r="CQ329" s="19"/>
      <c r="CR329" s="19"/>
      <c r="CS329" s="19"/>
      <c r="CT329" s="19"/>
      <c r="CU329" s="20"/>
      <c r="CV329" s="20"/>
      <c r="DA329" s="18">
        <f t="shared" si="67"/>
        <v>0</v>
      </c>
      <c r="DB329" s="19">
        <f t="shared" si="68"/>
        <v>0</v>
      </c>
      <c r="DC329" s="19">
        <f t="shared" si="69"/>
        <v>0</v>
      </c>
      <c r="DD329" s="19">
        <f t="shared" si="70"/>
        <v>0</v>
      </c>
      <c r="DE329" s="19">
        <f t="shared" si="71"/>
        <v>0</v>
      </c>
      <c r="DF329" s="19">
        <f t="shared" si="72"/>
        <v>0</v>
      </c>
      <c r="DG329" s="19">
        <f t="shared" si="73"/>
        <v>0</v>
      </c>
      <c r="DH329" s="20">
        <f t="shared" si="74"/>
        <v>0</v>
      </c>
      <c r="DI329" s="20">
        <f t="shared" si="75"/>
        <v>0</v>
      </c>
      <c r="DJ329" s="2"/>
    </row>
    <row r="330" spans="80:114" x14ac:dyDescent="0.3">
      <c r="CB330" s="18"/>
      <c r="CC330" s="19"/>
      <c r="CD330" s="19"/>
      <c r="CE330" s="19"/>
      <c r="CF330" s="19"/>
      <c r="CG330" s="19"/>
      <c r="CH330" s="19"/>
      <c r="CI330" s="20"/>
      <c r="CJ330" s="20"/>
      <c r="CN330" s="18"/>
      <c r="CO330" s="19"/>
      <c r="CP330" s="19"/>
      <c r="CQ330" s="19"/>
      <c r="CR330" s="19"/>
      <c r="CS330" s="19"/>
      <c r="CT330" s="19"/>
      <c r="CU330" s="20"/>
      <c r="CV330" s="20"/>
      <c r="DA330" s="18">
        <f t="shared" si="67"/>
        <v>0</v>
      </c>
      <c r="DB330" s="19">
        <f t="shared" si="68"/>
        <v>0</v>
      </c>
      <c r="DC330" s="19">
        <f t="shared" si="69"/>
        <v>0</v>
      </c>
      <c r="DD330" s="19">
        <f t="shared" si="70"/>
        <v>0</v>
      </c>
      <c r="DE330" s="19">
        <f t="shared" si="71"/>
        <v>0</v>
      </c>
      <c r="DF330" s="19">
        <f t="shared" si="72"/>
        <v>0</v>
      </c>
      <c r="DG330" s="19">
        <f t="shared" si="73"/>
        <v>0</v>
      </c>
      <c r="DH330" s="20">
        <f t="shared" si="74"/>
        <v>0</v>
      </c>
      <c r="DI330" s="20">
        <f t="shared" si="75"/>
        <v>0</v>
      </c>
      <c r="DJ330" s="2"/>
    </row>
    <row r="331" spans="80:114" x14ac:dyDescent="0.3">
      <c r="CB331" s="18"/>
      <c r="CC331" s="19"/>
      <c r="CD331" s="19"/>
      <c r="CE331" s="19"/>
      <c r="CF331" s="19"/>
      <c r="CG331" s="19"/>
      <c r="CH331" s="19"/>
      <c r="CI331" s="20"/>
      <c r="CJ331" s="20"/>
      <c r="CN331" s="18"/>
      <c r="CO331" s="19"/>
      <c r="CP331" s="19"/>
      <c r="CQ331" s="19"/>
      <c r="CR331" s="19"/>
      <c r="CS331" s="19"/>
      <c r="CT331" s="19"/>
      <c r="CU331" s="20"/>
      <c r="CV331" s="20"/>
      <c r="DA331" s="18">
        <f t="shared" si="67"/>
        <v>0</v>
      </c>
      <c r="DB331" s="19">
        <f t="shared" si="68"/>
        <v>0</v>
      </c>
      <c r="DC331" s="19">
        <f t="shared" si="69"/>
        <v>0</v>
      </c>
      <c r="DD331" s="19">
        <f t="shared" si="70"/>
        <v>0</v>
      </c>
      <c r="DE331" s="19">
        <f t="shared" si="71"/>
        <v>0</v>
      </c>
      <c r="DF331" s="19">
        <f t="shared" si="72"/>
        <v>0</v>
      </c>
      <c r="DG331" s="19">
        <f t="shared" si="73"/>
        <v>0</v>
      </c>
      <c r="DH331" s="20">
        <f t="shared" si="74"/>
        <v>0</v>
      </c>
      <c r="DI331" s="20">
        <f t="shared" si="75"/>
        <v>0</v>
      </c>
      <c r="DJ331" s="2"/>
    </row>
    <row r="332" spans="80:114" x14ac:dyDescent="0.3">
      <c r="CB332" s="18"/>
      <c r="CC332" s="19"/>
      <c r="CD332" s="19"/>
      <c r="CE332" s="19"/>
      <c r="CF332" s="19"/>
      <c r="CG332" s="19"/>
      <c r="CH332" s="19"/>
      <c r="CI332" s="20"/>
      <c r="CJ332" s="20"/>
      <c r="CN332" s="18"/>
      <c r="CO332" s="19"/>
      <c r="CP332" s="19"/>
      <c r="CQ332" s="19"/>
      <c r="CR332" s="19"/>
      <c r="CS332" s="19"/>
      <c r="CT332" s="19"/>
      <c r="CU332" s="20"/>
      <c r="CV332" s="20"/>
      <c r="DA332" s="18">
        <f t="shared" si="67"/>
        <v>0</v>
      </c>
      <c r="DB332" s="19">
        <f t="shared" si="68"/>
        <v>0</v>
      </c>
      <c r="DC332" s="19">
        <f t="shared" si="69"/>
        <v>0</v>
      </c>
      <c r="DD332" s="19">
        <f t="shared" si="70"/>
        <v>0</v>
      </c>
      <c r="DE332" s="19">
        <f t="shared" si="71"/>
        <v>0</v>
      </c>
      <c r="DF332" s="19">
        <f t="shared" si="72"/>
        <v>0</v>
      </c>
      <c r="DG332" s="19">
        <f t="shared" si="73"/>
        <v>0</v>
      </c>
      <c r="DH332" s="20">
        <f t="shared" si="74"/>
        <v>0</v>
      </c>
      <c r="DI332" s="20">
        <f t="shared" si="75"/>
        <v>0</v>
      </c>
      <c r="DJ332" s="2"/>
    </row>
    <row r="333" spans="80:114" x14ac:dyDescent="0.3">
      <c r="CB333" s="18"/>
      <c r="CC333" s="19"/>
      <c r="CD333" s="19"/>
      <c r="CE333" s="19"/>
      <c r="CF333" s="19"/>
      <c r="CG333" s="19"/>
      <c r="CH333" s="19"/>
      <c r="CI333" s="20"/>
      <c r="CJ333" s="20"/>
      <c r="CN333" s="18"/>
      <c r="CO333" s="19"/>
      <c r="CP333" s="19"/>
      <c r="CQ333" s="19"/>
      <c r="CR333" s="19"/>
      <c r="CS333" s="19"/>
      <c r="CT333" s="19"/>
      <c r="CU333" s="20"/>
      <c r="CV333" s="20"/>
      <c r="DA333" s="18">
        <f t="shared" si="67"/>
        <v>0</v>
      </c>
      <c r="DB333" s="19">
        <f t="shared" si="68"/>
        <v>0</v>
      </c>
      <c r="DC333" s="19">
        <f t="shared" si="69"/>
        <v>0</v>
      </c>
      <c r="DD333" s="19">
        <f t="shared" si="70"/>
        <v>0</v>
      </c>
      <c r="DE333" s="19">
        <f t="shared" si="71"/>
        <v>0</v>
      </c>
      <c r="DF333" s="19">
        <f t="shared" si="72"/>
        <v>0</v>
      </c>
      <c r="DG333" s="19">
        <f t="shared" si="73"/>
        <v>0</v>
      </c>
      <c r="DH333" s="20">
        <f t="shared" si="74"/>
        <v>0</v>
      </c>
      <c r="DI333" s="20">
        <f t="shared" si="75"/>
        <v>0</v>
      </c>
      <c r="DJ333" s="2"/>
    </row>
    <row r="334" spans="80:114" x14ac:dyDescent="0.3">
      <c r="CB334" s="18"/>
      <c r="CC334" s="19"/>
      <c r="CD334" s="19"/>
      <c r="CE334" s="19"/>
      <c r="CF334" s="19"/>
      <c r="CG334" s="19"/>
      <c r="CH334" s="19"/>
      <c r="CI334" s="20"/>
      <c r="CJ334" s="20"/>
      <c r="CN334" s="18"/>
      <c r="CO334" s="19"/>
      <c r="CP334" s="19"/>
      <c r="CQ334" s="19"/>
      <c r="CR334" s="19"/>
      <c r="CS334" s="19"/>
      <c r="CT334" s="19"/>
      <c r="CU334" s="20"/>
      <c r="CV334" s="20"/>
      <c r="DA334" s="18">
        <f t="shared" si="67"/>
        <v>0</v>
      </c>
      <c r="DB334" s="19">
        <f t="shared" si="68"/>
        <v>0</v>
      </c>
      <c r="DC334" s="19">
        <f t="shared" si="69"/>
        <v>0</v>
      </c>
      <c r="DD334" s="19">
        <f t="shared" si="70"/>
        <v>0</v>
      </c>
      <c r="DE334" s="19">
        <f t="shared" si="71"/>
        <v>0</v>
      </c>
      <c r="DF334" s="19">
        <f t="shared" si="72"/>
        <v>0</v>
      </c>
      <c r="DG334" s="19">
        <f t="shared" si="73"/>
        <v>0</v>
      </c>
      <c r="DH334" s="20">
        <f t="shared" si="74"/>
        <v>0</v>
      </c>
      <c r="DI334" s="20">
        <f t="shared" si="75"/>
        <v>0</v>
      </c>
      <c r="DJ334" s="2"/>
    </row>
    <row r="335" spans="80:114" x14ac:dyDescent="0.3">
      <c r="CB335" s="18"/>
      <c r="CC335" s="19"/>
      <c r="CD335" s="19"/>
      <c r="CE335" s="19"/>
      <c r="CF335" s="19"/>
      <c r="CG335" s="19"/>
      <c r="CH335" s="19"/>
      <c r="CI335" s="20"/>
      <c r="CJ335" s="20"/>
      <c r="CN335" s="18"/>
      <c r="CO335" s="19"/>
      <c r="CP335" s="19"/>
      <c r="CQ335" s="19"/>
      <c r="CR335" s="19"/>
      <c r="CS335" s="19"/>
      <c r="CT335" s="19"/>
      <c r="CU335" s="20"/>
      <c r="CV335" s="20"/>
      <c r="DA335" s="18">
        <f t="shared" si="67"/>
        <v>0</v>
      </c>
      <c r="DB335" s="19">
        <f t="shared" si="68"/>
        <v>0</v>
      </c>
      <c r="DC335" s="19">
        <f t="shared" si="69"/>
        <v>0</v>
      </c>
      <c r="DD335" s="19">
        <f t="shared" si="70"/>
        <v>0</v>
      </c>
      <c r="DE335" s="19">
        <f t="shared" si="71"/>
        <v>0</v>
      </c>
      <c r="DF335" s="19">
        <f t="shared" si="72"/>
        <v>0</v>
      </c>
      <c r="DG335" s="19">
        <f t="shared" si="73"/>
        <v>0</v>
      </c>
      <c r="DH335" s="20">
        <f t="shared" si="74"/>
        <v>0</v>
      </c>
      <c r="DI335" s="20">
        <f t="shared" si="75"/>
        <v>0</v>
      </c>
      <c r="DJ335" s="2"/>
    </row>
    <row r="336" spans="80:114" x14ac:dyDescent="0.3">
      <c r="CB336" s="18"/>
      <c r="CC336" s="19"/>
      <c r="CD336" s="19"/>
      <c r="CE336" s="19"/>
      <c r="CF336" s="19"/>
      <c r="CG336" s="19"/>
      <c r="CH336" s="19"/>
      <c r="CI336" s="20"/>
      <c r="CJ336" s="20"/>
      <c r="CN336" s="18"/>
      <c r="CO336" s="19"/>
      <c r="CP336" s="19"/>
      <c r="CQ336" s="19"/>
      <c r="CR336" s="19"/>
      <c r="CS336" s="19"/>
      <c r="CT336" s="19"/>
      <c r="CU336" s="20"/>
      <c r="CV336" s="20"/>
      <c r="DA336" s="18">
        <f t="shared" si="67"/>
        <v>0</v>
      </c>
      <c r="DB336" s="19">
        <f t="shared" si="68"/>
        <v>0</v>
      </c>
      <c r="DC336" s="19">
        <f t="shared" si="69"/>
        <v>0</v>
      </c>
      <c r="DD336" s="19">
        <f t="shared" si="70"/>
        <v>0</v>
      </c>
      <c r="DE336" s="19">
        <f t="shared" si="71"/>
        <v>0</v>
      </c>
      <c r="DF336" s="19">
        <f t="shared" si="72"/>
        <v>0</v>
      </c>
      <c r="DG336" s="19">
        <f t="shared" si="73"/>
        <v>0</v>
      </c>
      <c r="DH336" s="20">
        <f t="shared" si="74"/>
        <v>0</v>
      </c>
      <c r="DI336" s="20">
        <f t="shared" si="75"/>
        <v>0</v>
      </c>
      <c r="DJ336" s="2"/>
    </row>
    <row r="337" spans="80:114" x14ac:dyDescent="0.3">
      <c r="CB337" s="18"/>
      <c r="CC337" s="19"/>
      <c r="CD337" s="19"/>
      <c r="CE337" s="19"/>
      <c r="CF337" s="19"/>
      <c r="CG337" s="19"/>
      <c r="CH337" s="19"/>
      <c r="CI337" s="20"/>
      <c r="CJ337" s="20"/>
      <c r="CN337" s="18"/>
      <c r="CO337" s="19"/>
      <c r="CP337" s="19"/>
      <c r="CQ337" s="19"/>
      <c r="CR337" s="19"/>
      <c r="CS337" s="19"/>
      <c r="CT337" s="19"/>
      <c r="CU337" s="20"/>
      <c r="CV337" s="20"/>
      <c r="DA337" s="18">
        <f t="shared" si="67"/>
        <v>0</v>
      </c>
      <c r="DB337" s="19">
        <f t="shared" si="68"/>
        <v>0</v>
      </c>
      <c r="DC337" s="19">
        <f t="shared" si="69"/>
        <v>0</v>
      </c>
      <c r="DD337" s="19">
        <f t="shared" si="70"/>
        <v>0</v>
      </c>
      <c r="DE337" s="19">
        <f t="shared" si="71"/>
        <v>0</v>
      </c>
      <c r="DF337" s="19">
        <f t="shared" si="72"/>
        <v>0</v>
      </c>
      <c r="DG337" s="19">
        <f t="shared" si="73"/>
        <v>0</v>
      </c>
      <c r="DH337" s="20">
        <f t="shared" si="74"/>
        <v>0</v>
      </c>
      <c r="DI337" s="20">
        <f t="shared" si="75"/>
        <v>0</v>
      </c>
      <c r="DJ337" s="2"/>
    </row>
    <row r="338" spans="80:114" x14ac:dyDescent="0.3">
      <c r="CB338" s="18"/>
      <c r="CC338" s="19"/>
      <c r="CD338" s="19"/>
      <c r="CE338" s="19"/>
      <c r="CF338" s="19"/>
      <c r="CG338" s="19"/>
      <c r="CH338" s="19"/>
      <c r="CI338" s="20"/>
      <c r="CJ338" s="20"/>
      <c r="CN338" s="18"/>
      <c r="CO338" s="19"/>
      <c r="CP338" s="19"/>
      <c r="CQ338" s="19"/>
      <c r="CR338" s="19"/>
      <c r="CS338" s="19"/>
      <c r="CT338" s="19"/>
      <c r="CU338" s="20"/>
      <c r="CV338" s="20"/>
      <c r="DA338" s="18">
        <f t="shared" si="67"/>
        <v>0</v>
      </c>
      <c r="DB338" s="19">
        <f t="shared" si="68"/>
        <v>0</v>
      </c>
      <c r="DC338" s="19">
        <f t="shared" si="69"/>
        <v>0</v>
      </c>
      <c r="DD338" s="19">
        <f t="shared" si="70"/>
        <v>0</v>
      </c>
      <c r="DE338" s="19">
        <f t="shared" si="71"/>
        <v>0</v>
      </c>
      <c r="DF338" s="19">
        <f t="shared" si="72"/>
        <v>0</v>
      </c>
      <c r="DG338" s="19">
        <f t="shared" si="73"/>
        <v>0</v>
      </c>
      <c r="DH338" s="20">
        <f t="shared" si="74"/>
        <v>0</v>
      </c>
      <c r="DI338" s="20">
        <f t="shared" si="75"/>
        <v>0</v>
      </c>
      <c r="DJ338" s="2"/>
    </row>
    <row r="339" spans="80:114" x14ac:dyDescent="0.3">
      <c r="CB339" s="18"/>
      <c r="CC339" s="19"/>
      <c r="CD339" s="19"/>
      <c r="CE339" s="19"/>
      <c r="CF339" s="19"/>
      <c r="CG339" s="19"/>
      <c r="CH339" s="19"/>
      <c r="CI339" s="20"/>
      <c r="CJ339" s="20"/>
      <c r="CN339" s="18"/>
      <c r="CO339" s="19"/>
      <c r="CP339" s="19"/>
      <c r="CQ339" s="19"/>
      <c r="CR339" s="19"/>
      <c r="CS339" s="19"/>
      <c r="CT339" s="19"/>
      <c r="CU339" s="20"/>
      <c r="CV339" s="20"/>
      <c r="DA339" s="18">
        <f t="shared" si="67"/>
        <v>0</v>
      </c>
      <c r="DB339" s="19">
        <f t="shared" si="68"/>
        <v>0</v>
      </c>
      <c r="DC339" s="19">
        <f t="shared" si="69"/>
        <v>0</v>
      </c>
      <c r="DD339" s="19">
        <f t="shared" si="70"/>
        <v>0</v>
      </c>
      <c r="DE339" s="19">
        <f t="shared" si="71"/>
        <v>0</v>
      </c>
      <c r="DF339" s="19">
        <f t="shared" si="72"/>
        <v>0</v>
      </c>
      <c r="DG339" s="19">
        <f t="shared" si="73"/>
        <v>0</v>
      </c>
      <c r="DH339" s="20">
        <f t="shared" si="74"/>
        <v>0</v>
      </c>
      <c r="DI339" s="20">
        <f t="shared" si="75"/>
        <v>0</v>
      </c>
      <c r="DJ339" s="2"/>
    </row>
    <row r="340" spans="80:114" x14ac:dyDescent="0.3">
      <c r="CB340" s="18"/>
      <c r="CC340" s="19"/>
      <c r="CD340" s="19"/>
      <c r="CE340" s="19"/>
      <c r="CF340" s="19"/>
      <c r="CG340" s="19"/>
      <c r="CH340" s="19"/>
      <c r="CI340" s="20"/>
      <c r="CJ340" s="20"/>
      <c r="CN340" s="18"/>
      <c r="CO340" s="19"/>
      <c r="CP340" s="19"/>
      <c r="CQ340" s="19"/>
      <c r="CR340" s="19"/>
      <c r="CS340" s="19"/>
      <c r="CT340" s="19"/>
      <c r="CU340" s="20"/>
      <c r="CV340" s="20"/>
      <c r="DA340" s="18">
        <f t="shared" si="67"/>
        <v>0</v>
      </c>
      <c r="DB340" s="19">
        <f t="shared" si="68"/>
        <v>0</v>
      </c>
      <c r="DC340" s="19">
        <f t="shared" si="69"/>
        <v>0</v>
      </c>
      <c r="DD340" s="19">
        <f t="shared" si="70"/>
        <v>0</v>
      </c>
      <c r="DE340" s="19">
        <f t="shared" si="71"/>
        <v>0</v>
      </c>
      <c r="DF340" s="19">
        <f t="shared" si="72"/>
        <v>0</v>
      </c>
      <c r="DG340" s="19">
        <f t="shared" si="73"/>
        <v>0</v>
      </c>
      <c r="DH340" s="20">
        <f t="shared" si="74"/>
        <v>0</v>
      </c>
      <c r="DI340" s="20">
        <f t="shared" si="75"/>
        <v>0</v>
      </c>
      <c r="DJ340" s="2"/>
    </row>
    <row r="341" spans="80:114" x14ac:dyDescent="0.3">
      <c r="CB341" s="18"/>
      <c r="CC341" s="19"/>
      <c r="CD341" s="19"/>
      <c r="CE341" s="19"/>
      <c r="CF341" s="19"/>
      <c r="CG341" s="19"/>
      <c r="CH341" s="19"/>
      <c r="CI341" s="20"/>
      <c r="CJ341" s="20"/>
      <c r="CN341" s="18"/>
      <c r="CO341" s="19"/>
      <c r="CP341" s="19"/>
      <c r="CQ341" s="19"/>
      <c r="CR341" s="19"/>
      <c r="CS341" s="19"/>
      <c r="CT341" s="19"/>
      <c r="CU341" s="20"/>
      <c r="CV341" s="20"/>
      <c r="DA341" s="18">
        <f t="shared" si="67"/>
        <v>0</v>
      </c>
      <c r="DB341" s="19">
        <f t="shared" si="68"/>
        <v>0</v>
      </c>
      <c r="DC341" s="19">
        <f t="shared" si="69"/>
        <v>0</v>
      </c>
      <c r="DD341" s="19">
        <f t="shared" si="70"/>
        <v>0</v>
      </c>
      <c r="DE341" s="19">
        <f t="shared" si="71"/>
        <v>0</v>
      </c>
      <c r="DF341" s="19">
        <f t="shared" si="72"/>
        <v>0</v>
      </c>
      <c r="DG341" s="19">
        <f t="shared" si="73"/>
        <v>0</v>
      </c>
      <c r="DH341" s="20">
        <f t="shared" si="74"/>
        <v>0</v>
      </c>
      <c r="DI341" s="20">
        <f t="shared" si="75"/>
        <v>0</v>
      </c>
      <c r="DJ341" s="2"/>
    </row>
    <row r="342" spans="80:114" x14ac:dyDescent="0.3">
      <c r="CB342" s="18"/>
      <c r="CC342" s="19"/>
      <c r="CD342" s="19"/>
      <c r="CE342" s="19"/>
      <c r="CF342" s="19"/>
      <c r="CG342" s="19"/>
      <c r="CH342" s="19"/>
      <c r="CI342" s="20"/>
      <c r="CJ342" s="20"/>
      <c r="CN342" s="18"/>
      <c r="CO342" s="19"/>
      <c r="CP342" s="19"/>
      <c r="CQ342" s="19"/>
      <c r="CR342" s="19"/>
      <c r="CS342" s="19"/>
      <c r="CT342" s="19"/>
      <c r="CU342" s="20"/>
      <c r="CV342" s="20"/>
      <c r="DA342" s="18">
        <f t="shared" si="67"/>
        <v>0</v>
      </c>
      <c r="DB342" s="19">
        <f t="shared" si="68"/>
        <v>0</v>
      </c>
      <c r="DC342" s="19">
        <f t="shared" si="69"/>
        <v>0</v>
      </c>
      <c r="DD342" s="19">
        <f t="shared" si="70"/>
        <v>0</v>
      </c>
      <c r="DE342" s="19">
        <f t="shared" si="71"/>
        <v>0</v>
      </c>
      <c r="DF342" s="19">
        <f t="shared" si="72"/>
        <v>0</v>
      </c>
      <c r="DG342" s="19">
        <f t="shared" si="73"/>
        <v>0</v>
      </c>
      <c r="DH342" s="20">
        <f t="shared" si="74"/>
        <v>0</v>
      </c>
      <c r="DI342" s="20">
        <f t="shared" si="75"/>
        <v>0</v>
      </c>
      <c r="DJ342" s="2"/>
    </row>
    <row r="343" spans="80:114" x14ac:dyDescent="0.3">
      <c r="CB343" s="18"/>
      <c r="CC343" s="19"/>
      <c r="CD343" s="19"/>
      <c r="CE343" s="19"/>
      <c r="CF343" s="19"/>
      <c r="CG343" s="19"/>
      <c r="CH343" s="19"/>
      <c r="CI343" s="20"/>
      <c r="CJ343" s="20"/>
      <c r="CN343" s="18"/>
      <c r="CO343" s="19"/>
      <c r="CP343" s="19"/>
      <c r="CQ343" s="19"/>
      <c r="CR343" s="19"/>
      <c r="CS343" s="19"/>
      <c r="CT343" s="19"/>
      <c r="CU343" s="20"/>
      <c r="CV343" s="20"/>
      <c r="DA343" s="18">
        <f t="shared" si="67"/>
        <v>0</v>
      </c>
      <c r="DB343" s="19">
        <f t="shared" si="68"/>
        <v>0</v>
      </c>
      <c r="DC343" s="19">
        <f t="shared" si="69"/>
        <v>0</v>
      </c>
      <c r="DD343" s="19">
        <f t="shared" si="70"/>
        <v>0</v>
      </c>
      <c r="DE343" s="19">
        <f t="shared" si="71"/>
        <v>0</v>
      </c>
      <c r="DF343" s="19">
        <f t="shared" si="72"/>
        <v>0</v>
      </c>
      <c r="DG343" s="19">
        <f t="shared" si="73"/>
        <v>0</v>
      </c>
      <c r="DH343" s="20">
        <f t="shared" si="74"/>
        <v>0</v>
      </c>
      <c r="DI343" s="20">
        <f t="shared" si="75"/>
        <v>0</v>
      </c>
      <c r="DJ343" s="2"/>
    </row>
    <row r="344" spans="80:114" x14ac:dyDescent="0.3">
      <c r="CB344" s="18"/>
      <c r="CC344" s="19"/>
      <c r="CD344" s="19"/>
      <c r="CE344" s="19"/>
      <c r="CF344" s="19"/>
      <c r="CG344" s="19"/>
      <c r="CH344" s="19"/>
      <c r="CI344" s="20"/>
      <c r="CJ344" s="20"/>
      <c r="CN344" s="18"/>
      <c r="CO344" s="19"/>
      <c r="CP344" s="19"/>
      <c r="CQ344" s="19"/>
      <c r="CR344" s="19"/>
      <c r="CS344" s="19"/>
      <c r="CT344" s="19"/>
      <c r="CU344" s="20"/>
      <c r="CV344" s="20"/>
      <c r="DA344" s="18">
        <f t="shared" si="67"/>
        <v>0</v>
      </c>
      <c r="DB344" s="19">
        <f t="shared" si="68"/>
        <v>0</v>
      </c>
      <c r="DC344" s="19">
        <f t="shared" si="69"/>
        <v>0</v>
      </c>
      <c r="DD344" s="19">
        <f t="shared" si="70"/>
        <v>0</v>
      </c>
      <c r="DE344" s="19">
        <f t="shared" si="71"/>
        <v>0</v>
      </c>
      <c r="DF344" s="19">
        <f t="shared" si="72"/>
        <v>0</v>
      </c>
      <c r="DG344" s="19">
        <f t="shared" si="73"/>
        <v>0</v>
      </c>
      <c r="DH344" s="20">
        <f t="shared" si="74"/>
        <v>0</v>
      </c>
      <c r="DI344" s="20">
        <f t="shared" si="75"/>
        <v>0</v>
      </c>
      <c r="DJ344" s="2"/>
    </row>
    <row r="345" spans="80:114" x14ac:dyDescent="0.3">
      <c r="CB345" s="18"/>
      <c r="CC345" s="19"/>
      <c r="CD345" s="19"/>
      <c r="CE345" s="19"/>
      <c r="CF345" s="19"/>
      <c r="CG345" s="19"/>
      <c r="CH345" s="19"/>
      <c r="CI345" s="20"/>
      <c r="CJ345" s="20"/>
      <c r="CN345" s="18"/>
      <c r="CO345" s="19"/>
      <c r="CP345" s="19"/>
      <c r="CQ345" s="19"/>
      <c r="CR345" s="19"/>
      <c r="CS345" s="19"/>
      <c r="CT345" s="19"/>
      <c r="CU345" s="20"/>
      <c r="CV345" s="20"/>
      <c r="DA345" s="18">
        <f t="shared" si="67"/>
        <v>0</v>
      </c>
      <c r="DB345" s="19">
        <f t="shared" si="68"/>
        <v>0</v>
      </c>
      <c r="DC345" s="19">
        <f t="shared" si="69"/>
        <v>0</v>
      </c>
      <c r="DD345" s="19">
        <f t="shared" si="70"/>
        <v>0</v>
      </c>
      <c r="DE345" s="19">
        <f t="shared" si="71"/>
        <v>0</v>
      </c>
      <c r="DF345" s="19">
        <f t="shared" si="72"/>
        <v>0</v>
      </c>
      <c r="DG345" s="19">
        <f t="shared" si="73"/>
        <v>0</v>
      </c>
      <c r="DH345" s="20">
        <f t="shared" si="74"/>
        <v>0</v>
      </c>
      <c r="DI345" s="20">
        <f t="shared" si="75"/>
        <v>0</v>
      </c>
      <c r="DJ345" s="2"/>
    </row>
    <row r="346" spans="80:114" x14ac:dyDescent="0.3">
      <c r="CB346" s="18"/>
      <c r="CC346" s="19"/>
      <c r="CD346" s="19"/>
      <c r="CE346" s="19"/>
      <c r="CF346" s="19"/>
      <c r="CG346" s="19"/>
      <c r="CH346" s="19"/>
      <c r="CI346" s="20"/>
      <c r="CJ346" s="20"/>
      <c r="CN346" s="18"/>
      <c r="CO346" s="19"/>
      <c r="CP346" s="19"/>
      <c r="CQ346" s="19"/>
      <c r="CR346" s="19"/>
      <c r="CS346" s="19"/>
      <c r="CT346" s="19"/>
      <c r="CU346" s="20"/>
      <c r="CV346" s="20"/>
      <c r="DA346" s="18">
        <f t="shared" si="67"/>
        <v>0</v>
      </c>
      <c r="DB346" s="19">
        <f t="shared" si="68"/>
        <v>0</v>
      </c>
      <c r="DC346" s="19">
        <f t="shared" si="69"/>
        <v>0</v>
      </c>
      <c r="DD346" s="19">
        <f t="shared" si="70"/>
        <v>0</v>
      </c>
      <c r="DE346" s="19">
        <f t="shared" si="71"/>
        <v>0</v>
      </c>
      <c r="DF346" s="19">
        <f t="shared" si="72"/>
        <v>0</v>
      </c>
      <c r="DG346" s="19">
        <f t="shared" si="73"/>
        <v>0</v>
      </c>
      <c r="DH346" s="20">
        <f t="shared" si="74"/>
        <v>0</v>
      </c>
      <c r="DI346" s="20">
        <f t="shared" si="75"/>
        <v>0</v>
      </c>
      <c r="DJ346" s="2"/>
    </row>
    <row r="347" spans="80:114" x14ac:dyDescent="0.3">
      <c r="CB347" s="18"/>
      <c r="CC347" s="19"/>
      <c r="CD347" s="19"/>
      <c r="CE347" s="19"/>
      <c r="CF347" s="19"/>
      <c r="CG347" s="19"/>
      <c r="CH347" s="19"/>
      <c r="CI347" s="20"/>
      <c r="CJ347" s="20"/>
      <c r="CN347" s="18"/>
      <c r="CO347" s="19"/>
      <c r="CP347" s="19"/>
      <c r="CQ347" s="19"/>
      <c r="CR347" s="19"/>
      <c r="CS347" s="19"/>
      <c r="CT347" s="19"/>
      <c r="CU347" s="20"/>
      <c r="CV347" s="20"/>
      <c r="DA347" s="18">
        <f t="shared" si="67"/>
        <v>0</v>
      </c>
      <c r="DB347" s="19">
        <f t="shared" si="68"/>
        <v>0</v>
      </c>
      <c r="DC347" s="19">
        <f t="shared" si="69"/>
        <v>0</v>
      </c>
      <c r="DD347" s="19">
        <f t="shared" si="70"/>
        <v>0</v>
      </c>
      <c r="DE347" s="19">
        <f t="shared" si="71"/>
        <v>0</v>
      </c>
      <c r="DF347" s="19">
        <f t="shared" si="72"/>
        <v>0</v>
      </c>
      <c r="DG347" s="19">
        <f t="shared" si="73"/>
        <v>0</v>
      </c>
      <c r="DH347" s="20">
        <f t="shared" si="74"/>
        <v>0</v>
      </c>
      <c r="DI347" s="20">
        <f t="shared" si="75"/>
        <v>0</v>
      </c>
      <c r="DJ347" s="2"/>
    </row>
    <row r="348" spans="80:114" x14ac:dyDescent="0.3">
      <c r="CB348" s="18"/>
      <c r="CC348" s="19"/>
      <c r="CD348" s="19"/>
      <c r="CE348" s="19"/>
      <c r="CF348" s="19"/>
      <c r="CG348" s="19"/>
      <c r="CH348" s="19"/>
      <c r="CI348" s="20"/>
      <c r="CJ348" s="20"/>
      <c r="CN348" s="18"/>
      <c r="CO348" s="19"/>
      <c r="CP348" s="19"/>
      <c r="CQ348" s="19"/>
      <c r="CR348" s="19"/>
      <c r="CS348" s="19"/>
      <c r="CT348" s="19"/>
      <c r="CU348" s="20"/>
      <c r="CV348" s="20"/>
      <c r="DA348" s="18">
        <f t="shared" si="67"/>
        <v>0</v>
      </c>
      <c r="DB348" s="19">
        <f t="shared" si="68"/>
        <v>0</v>
      </c>
      <c r="DC348" s="19">
        <f t="shared" si="69"/>
        <v>0</v>
      </c>
      <c r="DD348" s="19">
        <f t="shared" si="70"/>
        <v>0</v>
      </c>
      <c r="DE348" s="19">
        <f t="shared" si="71"/>
        <v>0</v>
      </c>
      <c r="DF348" s="19">
        <f t="shared" si="72"/>
        <v>0</v>
      </c>
      <c r="DG348" s="19">
        <f t="shared" si="73"/>
        <v>0</v>
      </c>
      <c r="DH348" s="20">
        <f t="shared" si="74"/>
        <v>0</v>
      </c>
      <c r="DI348" s="20">
        <f t="shared" si="75"/>
        <v>0</v>
      </c>
      <c r="DJ348" s="2"/>
    </row>
    <row r="349" spans="80:114" x14ac:dyDescent="0.3">
      <c r="CB349" s="18"/>
      <c r="CC349" s="19"/>
      <c r="CD349" s="19"/>
      <c r="CE349" s="19"/>
      <c r="CF349" s="19"/>
      <c r="CG349" s="19"/>
      <c r="CH349" s="19"/>
      <c r="CI349" s="20"/>
      <c r="CJ349" s="20"/>
      <c r="CN349" s="18"/>
      <c r="CO349" s="19"/>
      <c r="CP349" s="19"/>
      <c r="CQ349" s="19"/>
      <c r="CR349" s="19"/>
      <c r="CS349" s="19"/>
      <c r="CT349" s="19"/>
      <c r="CU349" s="20"/>
      <c r="CV349" s="20"/>
      <c r="DA349" s="18">
        <f t="shared" si="67"/>
        <v>0</v>
      </c>
      <c r="DB349" s="19">
        <f t="shared" si="68"/>
        <v>0</v>
      </c>
      <c r="DC349" s="19">
        <f t="shared" si="69"/>
        <v>0</v>
      </c>
      <c r="DD349" s="19">
        <f t="shared" si="70"/>
        <v>0</v>
      </c>
      <c r="DE349" s="19">
        <f t="shared" si="71"/>
        <v>0</v>
      </c>
      <c r="DF349" s="19">
        <f t="shared" si="72"/>
        <v>0</v>
      </c>
      <c r="DG349" s="19">
        <f t="shared" si="73"/>
        <v>0</v>
      </c>
      <c r="DH349" s="20">
        <f t="shared" si="74"/>
        <v>0</v>
      </c>
      <c r="DI349" s="20">
        <f t="shared" si="75"/>
        <v>0</v>
      </c>
      <c r="DJ349" s="2"/>
    </row>
    <row r="350" spans="80:114" x14ac:dyDescent="0.3">
      <c r="CB350" s="18"/>
      <c r="CC350" s="19"/>
      <c r="CD350" s="19"/>
      <c r="CE350" s="19"/>
      <c r="CF350" s="19"/>
      <c r="CG350" s="19"/>
      <c r="CH350" s="19"/>
      <c r="CI350" s="20"/>
      <c r="CJ350" s="20"/>
      <c r="CN350" s="18"/>
      <c r="CO350" s="19"/>
      <c r="CP350" s="19"/>
      <c r="CQ350" s="19"/>
      <c r="CR350" s="19"/>
      <c r="CS350" s="19"/>
      <c r="CT350" s="19"/>
      <c r="CU350" s="20"/>
      <c r="CV350" s="20"/>
      <c r="DA350" s="18">
        <f t="shared" si="67"/>
        <v>0</v>
      </c>
      <c r="DB350" s="19">
        <f t="shared" si="68"/>
        <v>0</v>
      </c>
      <c r="DC350" s="19">
        <f t="shared" si="69"/>
        <v>0</v>
      </c>
      <c r="DD350" s="19">
        <f t="shared" si="70"/>
        <v>0</v>
      </c>
      <c r="DE350" s="19">
        <f t="shared" si="71"/>
        <v>0</v>
      </c>
      <c r="DF350" s="19">
        <f t="shared" si="72"/>
        <v>0</v>
      </c>
      <c r="DG350" s="19">
        <f t="shared" si="73"/>
        <v>0</v>
      </c>
      <c r="DH350" s="20">
        <f t="shared" si="74"/>
        <v>0</v>
      </c>
      <c r="DI350" s="20">
        <f t="shared" si="75"/>
        <v>0</v>
      </c>
      <c r="DJ350" s="2"/>
    </row>
    <row r="351" spans="80:114" x14ac:dyDescent="0.3">
      <c r="CB351" s="18"/>
      <c r="CC351" s="19"/>
      <c r="CD351" s="19"/>
      <c r="CE351" s="19"/>
      <c r="CF351" s="19"/>
      <c r="CG351" s="19"/>
      <c r="CH351" s="19"/>
      <c r="CI351" s="20"/>
      <c r="CJ351" s="20"/>
      <c r="CN351" s="18"/>
      <c r="CO351" s="19"/>
      <c r="CP351" s="19"/>
      <c r="CQ351" s="19"/>
      <c r="CR351" s="19"/>
      <c r="CS351" s="19"/>
      <c r="CT351" s="19"/>
      <c r="CU351" s="20"/>
      <c r="CV351" s="20"/>
      <c r="DA351" s="18">
        <f t="shared" si="67"/>
        <v>0</v>
      </c>
      <c r="DB351" s="19">
        <f t="shared" si="68"/>
        <v>0</v>
      </c>
      <c r="DC351" s="19">
        <f t="shared" si="69"/>
        <v>0</v>
      </c>
      <c r="DD351" s="19">
        <f t="shared" si="70"/>
        <v>0</v>
      </c>
      <c r="DE351" s="19">
        <f t="shared" si="71"/>
        <v>0</v>
      </c>
      <c r="DF351" s="19">
        <f t="shared" si="72"/>
        <v>0</v>
      </c>
      <c r="DG351" s="19">
        <f t="shared" si="73"/>
        <v>0</v>
      </c>
      <c r="DH351" s="20">
        <f t="shared" si="74"/>
        <v>0</v>
      </c>
      <c r="DI351" s="20">
        <f t="shared" si="75"/>
        <v>0</v>
      </c>
      <c r="DJ351" s="2"/>
    </row>
    <row r="352" spans="80:114" x14ac:dyDescent="0.3">
      <c r="CB352" s="18"/>
      <c r="CC352" s="19"/>
      <c r="CD352" s="19"/>
      <c r="CE352" s="19"/>
      <c r="CF352" s="19"/>
      <c r="CG352" s="19"/>
      <c r="CH352" s="19"/>
      <c r="CI352" s="20"/>
      <c r="CJ352" s="20"/>
      <c r="CN352" s="18"/>
      <c r="CO352" s="19"/>
      <c r="CP352" s="19"/>
      <c r="CQ352" s="19"/>
      <c r="CR352" s="19"/>
      <c r="CS352" s="19"/>
      <c r="CT352" s="19"/>
      <c r="CU352" s="20"/>
      <c r="CV352" s="20"/>
      <c r="DA352" s="18">
        <f t="shared" si="67"/>
        <v>0</v>
      </c>
      <c r="DB352" s="19">
        <f t="shared" si="68"/>
        <v>0</v>
      </c>
      <c r="DC352" s="19">
        <f t="shared" si="69"/>
        <v>0</v>
      </c>
      <c r="DD352" s="19">
        <f t="shared" si="70"/>
        <v>0</v>
      </c>
      <c r="DE352" s="19">
        <f t="shared" si="71"/>
        <v>0</v>
      </c>
      <c r="DF352" s="19">
        <f t="shared" si="72"/>
        <v>0</v>
      </c>
      <c r="DG352" s="19">
        <f t="shared" si="73"/>
        <v>0</v>
      </c>
      <c r="DH352" s="20">
        <f t="shared" si="74"/>
        <v>0</v>
      </c>
      <c r="DI352" s="20">
        <f t="shared" si="75"/>
        <v>0</v>
      </c>
      <c r="DJ352" s="2"/>
    </row>
    <row r="353" spans="80:114" x14ac:dyDescent="0.3">
      <c r="CB353" s="18"/>
      <c r="CC353" s="19"/>
      <c r="CD353" s="19"/>
      <c r="CE353" s="19"/>
      <c r="CF353" s="19"/>
      <c r="CG353" s="19"/>
      <c r="CH353" s="19"/>
      <c r="CI353" s="20"/>
      <c r="CJ353" s="20"/>
      <c r="CN353" s="18"/>
      <c r="CO353" s="19"/>
      <c r="CP353" s="19"/>
      <c r="CQ353" s="19"/>
      <c r="CR353" s="19"/>
      <c r="CS353" s="19"/>
      <c r="CT353" s="19"/>
      <c r="CU353" s="20"/>
      <c r="CV353" s="20"/>
      <c r="DA353" s="18">
        <f t="shared" si="67"/>
        <v>0</v>
      </c>
      <c r="DB353" s="19">
        <f t="shared" si="68"/>
        <v>0</v>
      </c>
      <c r="DC353" s="19">
        <f t="shared" si="69"/>
        <v>0</v>
      </c>
      <c r="DD353" s="19">
        <f t="shared" si="70"/>
        <v>0</v>
      </c>
      <c r="DE353" s="19">
        <f t="shared" si="71"/>
        <v>0</v>
      </c>
      <c r="DF353" s="19">
        <f t="shared" si="72"/>
        <v>0</v>
      </c>
      <c r="DG353" s="19">
        <f t="shared" si="73"/>
        <v>0</v>
      </c>
      <c r="DH353" s="20">
        <f t="shared" si="74"/>
        <v>0</v>
      </c>
      <c r="DI353" s="20">
        <f t="shared" si="75"/>
        <v>0</v>
      </c>
      <c r="DJ353" s="2"/>
    </row>
    <row r="354" spans="80:114" x14ac:dyDescent="0.3">
      <c r="CB354" s="18"/>
      <c r="CC354" s="19"/>
      <c r="CD354" s="19"/>
      <c r="CE354" s="19"/>
      <c r="CF354" s="19"/>
      <c r="CG354" s="19"/>
      <c r="CH354" s="19"/>
      <c r="CI354" s="20"/>
      <c r="CJ354" s="20"/>
      <c r="CN354" s="18"/>
      <c r="CO354" s="19"/>
      <c r="CP354" s="19"/>
      <c r="CQ354" s="19"/>
      <c r="CR354" s="19"/>
      <c r="CS354" s="19"/>
      <c r="CT354" s="19"/>
      <c r="CU354" s="20"/>
      <c r="CV354" s="20"/>
      <c r="DA354" s="18">
        <f t="shared" si="67"/>
        <v>0</v>
      </c>
      <c r="DB354" s="19">
        <f t="shared" si="68"/>
        <v>0</v>
      </c>
      <c r="DC354" s="19">
        <f t="shared" si="69"/>
        <v>0</v>
      </c>
      <c r="DD354" s="19">
        <f t="shared" si="70"/>
        <v>0</v>
      </c>
      <c r="DE354" s="19">
        <f t="shared" si="71"/>
        <v>0</v>
      </c>
      <c r="DF354" s="19">
        <f t="shared" si="72"/>
        <v>0</v>
      </c>
      <c r="DG354" s="19">
        <f t="shared" si="73"/>
        <v>0</v>
      </c>
      <c r="DH354" s="20">
        <f t="shared" si="74"/>
        <v>0</v>
      </c>
      <c r="DI354" s="20">
        <f t="shared" si="75"/>
        <v>0</v>
      </c>
      <c r="DJ354" s="2"/>
    </row>
    <row r="355" spans="80:114" x14ac:dyDescent="0.3">
      <c r="CB355" s="18"/>
      <c r="CC355" s="19"/>
      <c r="CD355" s="19"/>
      <c r="CE355" s="19"/>
      <c r="CF355" s="19"/>
      <c r="CG355" s="19"/>
      <c r="CH355" s="19"/>
      <c r="CI355" s="20"/>
      <c r="CJ355" s="20"/>
      <c r="CN355" s="18"/>
      <c r="CO355" s="19"/>
      <c r="CP355" s="19"/>
      <c r="CQ355" s="19"/>
      <c r="CR355" s="19"/>
      <c r="CS355" s="19"/>
      <c r="CT355" s="19"/>
      <c r="CU355" s="20"/>
      <c r="CV355" s="20"/>
      <c r="DA355" s="18">
        <f t="shared" si="67"/>
        <v>0</v>
      </c>
      <c r="DB355" s="19">
        <f t="shared" si="68"/>
        <v>0</v>
      </c>
      <c r="DC355" s="19">
        <f t="shared" si="69"/>
        <v>0</v>
      </c>
      <c r="DD355" s="19">
        <f t="shared" si="70"/>
        <v>0</v>
      </c>
      <c r="DE355" s="19">
        <f t="shared" si="71"/>
        <v>0</v>
      </c>
      <c r="DF355" s="19">
        <f t="shared" si="72"/>
        <v>0</v>
      </c>
      <c r="DG355" s="19">
        <f t="shared" si="73"/>
        <v>0</v>
      </c>
      <c r="DH355" s="20">
        <f t="shared" si="74"/>
        <v>0</v>
      </c>
      <c r="DI355" s="20">
        <f t="shared" si="75"/>
        <v>0</v>
      </c>
      <c r="DJ355" s="2"/>
    </row>
    <row r="356" spans="80:114" x14ac:dyDescent="0.3">
      <c r="CB356" s="18"/>
      <c r="CC356" s="19"/>
      <c r="CD356" s="19"/>
      <c r="CE356" s="19"/>
      <c r="CF356" s="19"/>
      <c r="CG356" s="19"/>
      <c r="CH356" s="19"/>
      <c r="CI356" s="20"/>
      <c r="CJ356" s="20"/>
      <c r="CN356" s="18"/>
      <c r="CO356" s="19"/>
      <c r="CP356" s="19"/>
      <c r="CQ356" s="19"/>
      <c r="CR356" s="19"/>
      <c r="CS356" s="19"/>
      <c r="CT356" s="19"/>
      <c r="CU356" s="20"/>
      <c r="CV356" s="20"/>
      <c r="DA356" s="18">
        <f t="shared" si="67"/>
        <v>0</v>
      </c>
      <c r="DB356" s="19">
        <f t="shared" si="68"/>
        <v>0</v>
      </c>
      <c r="DC356" s="19">
        <f t="shared" si="69"/>
        <v>0</v>
      </c>
      <c r="DD356" s="19">
        <f t="shared" si="70"/>
        <v>0</v>
      </c>
      <c r="DE356" s="19">
        <f t="shared" si="71"/>
        <v>0</v>
      </c>
      <c r="DF356" s="19">
        <f t="shared" si="72"/>
        <v>0</v>
      </c>
      <c r="DG356" s="19">
        <f t="shared" si="73"/>
        <v>0</v>
      </c>
      <c r="DH356" s="20">
        <f t="shared" si="74"/>
        <v>0</v>
      </c>
      <c r="DI356" s="20">
        <f t="shared" si="75"/>
        <v>0</v>
      </c>
      <c r="DJ356" s="2"/>
    </row>
    <row r="357" spans="80:114" x14ac:dyDescent="0.3">
      <c r="CB357" s="18"/>
      <c r="CC357" s="19"/>
      <c r="CD357" s="19"/>
      <c r="CE357" s="19"/>
      <c r="CF357" s="19"/>
      <c r="CG357" s="19"/>
      <c r="CH357" s="19"/>
      <c r="CI357" s="20"/>
      <c r="CJ357" s="20"/>
      <c r="CN357" s="18"/>
      <c r="CO357" s="19"/>
      <c r="CP357" s="19"/>
      <c r="CQ357" s="19"/>
      <c r="CR357" s="19"/>
      <c r="CS357" s="19"/>
      <c r="CT357" s="19"/>
      <c r="CU357" s="20"/>
      <c r="CV357" s="20"/>
      <c r="DA357" s="18">
        <f t="shared" si="67"/>
        <v>0</v>
      </c>
      <c r="DB357" s="19">
        <f t="shared" si="68"/>
        <v>0</v>
      </c>
      <c r="DC357" s="19">
        <f t="shared" si="69"/>
        <v>0</v>
      </c>
      <c r="DD357" s="19">
        <f t="shared" si="70"/>
        <v>0</v>
      </c>
      <c r="DE357" s="19">
        <f t="shared" si="71"/>
        <v>0</v>
      </c>
      <c r="DF357" s="19">
        <f t="shared" si="72"/>
        <v>0</v>
      </c>
      <c r="DG357" s="19">
        <f t="shared" si="73"/>
        <v>0</v>
      </c>
      <c r="DH357" s="20">
        <f t="shared" si="74"/>
        <v>0</v>
      </c>
      <c r="DI357" s="20">
        <f t="shared" si="75"/>
        <v>0</v>
      </c>
      <c r="DJ357" s="2"/>
    </row>
    <row r="358" spans="80:114" x14ac:dyDescent="0.3">
      <c r="CB358" s="18"/>
      <c r="CC358" s="19"/>
      <c r="CD358" s="19"/>
      <c r="CE358" s="19"/>
      <c r="CF358" s="19"/>
      <c r="CG358" s="19"/>
      <c r="CH358" s="19"/>
      <c r="CI358" s="20"/>
      <c r="CJ358" s="20"/>
      <c r="CN358" s="18"/>
      <c r="CO358" s="19"/>
      <c r="CP358" s="19"/>
      <c r="CQ358" s="19"/>
      <c r="CR358" s="19"/>
      <c r="CS358" s="19"/>
      <c r="CT358" s="19"/>
      <c r="CU358" s="20"/>
      <c r="CV358" s="20"/>
      <c r="DA358" s="18">
        <f t="shared" si="67"/>
        <v>0</v>
      </c>
      <c r="DB358" s="19">
        <f t="shared" si="68"/>
        <v>0</v>
      </c>
      <c r="DC358" s="19">
        <f t="shared" si="69"/>
        <v>0</v>
      </c>
      <c r="DD358" s="19">
        <f t="shared" si="70"/>
        <v>0</v>
      </c>
      <c r="DE358" s="19">
        <f t="shared" si="71"/>
        <v>0</v>
      </c>
      <c r="DF358" s="19">
        <f t="shared" si="72"/>
        <v>0</v>
      </c>
      <c r="DG358" s="19">
        <f t="shared" si="73"/>
        <v>0</v>
      </c>
      <c r="DH358" s="20">
        <f t="shared" si="74"/>
        <v>0</v>
      </c>
      <c r="DI358" s="20">
        <f t="shared" si="75"/>
        <v>0</v>
      </c>
      <c r="DJ358" s="2"/>
    </row>
    <row r="359" spans="80:114" x14ac:dyDescent="0.3">
      <c r="CB359" s="18"/>
      <c r="CC359" s="19"/>
      <c r="CD359" s="19"/>
      <c r="CE359" s="19"/>
      <c r="CF359" s="19"/>
      <c r="CG359" s="19"/>
      <c r="CH359" s="19"/>
      <c r="CI359" s="20"/>
      <c r="CJ359" s="20"/>
      <c r="CN359" s="18"/>
      <c r="CO359" s="19"/>
      <c r="CP359" s="19"/>
      <c r="CQ359" s="19"/>
      <c r="CR359" s="19"/>
      <c r="CS359" s="19"/>
      <c r="CT359" s="19"/>
      <c r="CU359" s="20"/>
      <c r="CV359" s="20"/>
      <c r="DA359" s="18">
        <f t="shared" si="67"/>
        <v>0</v>
      </c>
      <c r="DB359" s="19">
        <f t="shared" si="68"/>
        <v>0</v>
      </c>
      <c r="DC359" s="19">
        <f t="shared" si="69"/>
        <v>0</v>
      </c>
      <c r="DD359" s="19">
        <f t="shared" si="70"/>
        <v>0</v>
      </c>
      <c r="DE359" s="19">
        <f t="shared" si="71"/>
        <v>0</v>
      </c>
      <c r="DF359" s="19">
        <f t="shared" si="72"/>
        <v>0</v>
      </c>
      <c r="DG359" s="19">
        <f t="shared" si="73"/>
        <v>0</v>
      </c>
      <c r="DH359" s="20">
        <f t="shared" si="74"/>
        <v>0</v>
      </c>
      <c r="DI359" s="20">
        <f t="shared" si="75"/>
        <v>0</v>
      </c>
      <c r="DJ359" s="2"/>
    </row>
    <row r="360" spans="80:114" x14ac:dyDescent="0.3">
      <c r="CB360" s="18"/>
      <c r="CC360" s="19"/>
      <c r="CD360" s="19"/>
      <c r="CE360" s="19"/>
      <c r="CF360" s="19"/>
      <c r="CG360" s="19"/>
      <c r="CH360" s="19"/>
      <c r="CI360" s="20"/>
      <c r="CJ360" s="20"/>
      <c r="CN360" s="18"/>
      <c r="CO360" s="19"/>
      <c r="CP360" s="19"/>
      <c r="CQ360" s="19"/>
      <c r="CR360" s="19"/>
      <c r="CS360" s="19"/>
      <c r="CT360" s="19"/>
      <c r="CU360" s="20"/>
      <c r="CV360" s="20"/>
      <c r="DA360" s="18">
        <f t="shared" si="67"/>
        <v>0</v>
      </c>
      <c r="DB360" s="19">
        <f t="shared" si="68"/>
        <v>0</v>
      </c>
      <c r="DC360" s="19">
        <f t="shared" si="69"/>
        <v>0</v>
      </c>
      <c r="DD360" s="19">
        <f t="shared" si="70"/>
        <v>0</v>
      </c>
      <c r="DE360" s="19">
        <f t="shared" si="71"/>
        <v>0</v>
      </c>
      <c r="DF360" s="19">
        <f t="shared" si="72"/>
        <v>0</v>
      </c>
      <c r="DG360" s="19">
        <f t="shared" si="73"/>
        <v>0</v>
      </c>
      <c r="DH360" s="20">
        <f t="shared" si="74"/>
        <v>0</v>
      </c>
      <c r="DI360" s="20">
        <f t="shared" si="75"/>
        <v>0</v>
      </c>
      <c r="DJ360" s="2"/>
    </row>
    <row r="361" spans="80:114" x14ac:dyDescent="0.3">
      <c r="CB361" s="18"/>
      <c r="CC361" s="19"/>
      <c r="CD361" s="19"/>
      <c r="CE361" s="19"/>
      <c r="CF361" s="19"/>
      <c r="CG361" s="19"/>
      <c r="CH361" s="19"/>
      <c r="CI361" s="20"/>
      <c r="CJ361" s="20"/>
      <c r="CN361" s="18"/>
      <c r="CO361" s="19"/>
      <c r="CP361" s="19"/>
      <c r="CQ361" s="19"/>
      <c r="CR361" s="19"/>
      <c r="CS361" s="19"/>
      <c r="CT361" s="19"/>
      <c r="CU361" s="20"/>
      <c r="CV361" s="20"/>
      <c r="DA361" s="18">
        <f t="shared" si="67"/>
        <v>0</v>
      </c>
      <c r="DB361" s="19">
        <f t="shared" si="68"/>
        <v>0</v>
      </c>
      <c r="DC361" s="19">
        <f t="shared" si="69"/>
        <v>0</v>
      </c>
      <c r="DD361" s="19">
        <f t="shared" si="70"/>
        <v>0</v>
      </c>
      <c r="DE361" s="19">
        <f t="shared" si="71"/>
        <v>0</v>
      </c>
      <c r="DF361" s="19">
        <f t="shared" si="72"/>
        <v>0</v>
      </c>
      <c r="DG361" s="19">
        <f t="shared" si="73"/>
        <v>0</v>
      </c>
      <c r="DH361" s="20">
        <f t="shared" si="74"/>
        <v>0</v>
      </c>
      <c r="DI361" s="20">
        <f t="shared" si="75"/>
        <v>0</v>
      </c>
      <c r="DJ361" s="2"/>
    </row>
    <row r="362" spans="80:114" x14ac:dyDescent="0.3">
      <c r="CB362" s="18"/>
      <c r="CC362" s="19"/>
      <c r="CD362" s="19"/>
      <c r="CE362" s="19"/>
      <c r="CF362" s="19"/>
      <c r="CG362" s="19"/>
      <c r="CH362" s="19"/>
      <c r="CI362" s="20"/>
      <c r="CJ362" s="20"/>
      <c r="CN362" s="18"/>
      <c r="CO362" s="19"/>
      <c r="CP362" s="19"/>
      <c r="CQ362" s="19"/>
      <c r="CR362" s="19"/>
      <c r="CS362" s="19"/>
      <c r="CT362" s="19"/>
      <c r="CU362" s="20"/>
      <c r="CV362" s="20"/>
      <c r="DA362" s="18">
        <f t="shared" si="67"/>
        <v>0</v>
      </c>
      <c r="DB362" s="19">
        <f t="shared" si="68"/>
        <v>0</v>
      </c>
      <c r="DC362" s="19">
        <f t="shared" si="69"/>
        <v>0</v>
      </c>
      <c r="DD362" s="19">
        <f t="shared" si="70"/>
        <v>0</v>
      </c>
      <c r="DE362" s="19">
        <f t="shared" si="71"/>
        <v>0</v>
      </c>
      <c r="DF362" s="19">
        <f t="shared" si="72"/>
        <v>0</v>
      </c>
      <c r="DG362" s="19">
        <f t="shared" si="73"/>
        <v>0</v>
      </c>
      <c r="DH362" s="20">
        <f t="shared" si="74"/>
        <v>0</v>
      </c>
      <c r="DI362" s="20">
        <f t="shared" si="75"/>
        <v>0</v>
      </c>
      <c r="DJ362" s="2"/>
    </row>
    <row r="363" spans="80:114" x14ac:dyDescent="0.3">
      <c r="CB363" s="18"/>
      <c r="CC363" s="19"/>
      <c r="CD363" s="19"/>
      <c r="CE363" s="19"/>
      <c r="CF363" s="19"/>
      <c r="CG363" s="19"/>
      <c r="CH363" s="19"/>
      <c r="CI363" s="20"/>
      <c r="CJ363" s="20"/>
      <c r="CN363" s="18"/>
      <c r="CO363" s="19"/>
      <c r="CP363" s="19"/>
      <c r="CQ363" s="19"/>
      <c r="CR363" s="19"/>
      <c r="CS363" s="19"/>
      <c r="CT363" s="19"/>
      <c r="CU363" s="20"/>
      <c r="CV363" s="20"/>
      <c r="DA363" s="18">
        <f t="shared" si="67"/>
        <v>0</v>
      </c>
      <c r="DB363" s="19">
        <f t="shared" si="68"/>
        <v>0</v>
      </c>
      <c r="DC363" s="19">
        <f t="shared" si="69"/>
        <v>0</v>
      </c>
      <c r="DD363" s="19">
        <f t="shared" si="70"/>
        <v>0</v>
      </c>
      <c r="DE363" s="19">
        <f t="shared" si="71"/>
        <v>0</v>
      </c>
      <c r="DF363" s="19">
        <f t="shared" si="72"/>
        <v>0</v>
      </c>
      <c r="DG363" s="19">
        <f t="shared" si="73"/>
        <v>0</v>
      </c>
      <c r="DH363" s="20">
        <f t="shared" si="74"/>
        <v>0</v>
      </c>
      <c r="DI363" s="20">
        <f t="shared" si="75"/>
        <v>0</v>
      </c>
      <c r="DJ363" s="2"/>
    </row>
    <row r="364" spans="80:114" x14ac:dyDescent="0.3">
      <c r="CB364" s="18"/>
      <c r="CC364" s="19"/>
      <c r="CD364" s="19"/>
      <c r="CE364" s="19"/>
      <c r="CF364" s="19"/>
      <c r="CG364" s="19"/>
      <c r="CH364" s="19"/>
      <c r="CI364" s="20"/>
      <c r="CJ364" s="20"/>
      <c r="CN364" s="18"/>
      <c r="CO364" s="19"/>
      <c r="CP364" s="19"/>
      <c r="CQ364" s="19"/>
      <c r="CR364" s="19"/>
      <c r="CS364" s="19"/>
      <c r="CT364" s="19"/>
      <c r="CU364" s="20"/>
      <c r="CV364" s="20"/>
      <c r="DA364" s="18">
        <f t="shared" si="67"/>
        <v>0</v>
      </c>
      <c r="DB364" s="19">
        <f t="shared" si="68"/>
        <v>0</v>
      </c>
      <c r="DC364" s="19">
        <f t="shared" si="69"/>
        <v>0</v>
      </c>
      <c r="DD364" s="19">
        <f t="shared" si="70"/>
        <v>0</v>
      </c>
      <c r="DE364" s="19">
        <f t="shared" si="71"/>
        <v>0</v>
      </c>
      <c r="DF364" s="19">
        <f t="shared" si="72"/>
        <v>0</v>
      </c>
      <c r="DG364" s="19">
        <f t="shared" si="73"/>
        <v>0</v>
      </c>
      <c r="DH364" s="20">
        <f t="shared" si="74"/>
        <v>0</v>
      </c>
      <c r="DI364" s="20">
        <f t="shared" si="75"/>
        <v>0</v>
      </c>
      <c r="DJ364" s="2"/>
    </row>
    <row r="365" spans="80:114" x14ac:dyDescent="0.3">
      <c r="CB365" s="18"/>
      <c r="CC365" s="19"/>
      <c r="CD365" s="19"/>
      <c r="CE365" s="19"/>
      <c r="CF365" s="19"/>
      <c r="CG365" s="19"/>
      <c r="CH365" s="19"/>
      <c r="CI365" s="20"/>
      <c r="CJ365" s="20"/>
      <c r="CN365" s="18"/>
      <c r="CO365" s="19"/>
      <c r="CP365" s="19"/>
      <c r="CQ365" s="19"/>
      <c r="CR365" s="19"/>
      <c r="CS365" s="19"/>
      <c r="CT365" s="19"/>
      <c r="CU365" s="20"/>
      <c r="CV365" s="20"/>
      <c r="DA365" s="18">
        <f t="shared" si="67"/>
        <v>0</v>
      </c>
      <c r="DB365" s="19">
        <f t="shared" si="68"/>
        <v>0</v>
      </c>
      <c r="DC365" s="19">
        <f t="shared" si="69"/>
        <v>0</v>
      </c>
      <c r="DD365" s="19">
        <f t="shared" si="70"/>
        <v>0</v>
      </c>
      <c r="DE365" s="19">
        <f t="shared" si="71"/>
        <v>0</v>
      </c>
      <c r="DF365" s="19">
        <f t="shared" si="72"/>
        <v>0</v>
      </c>
      <c r="DG365" s="19">
        <f t="shared" si="73"/>
        <v>0</v>
      </c>
      <c r="DH365" s="20">
        <f t="shared" si="74"/>
        <v>0</v>
      </c>
      <c r="DI365" s="20">
        <f t="shared" si="75"/>
        <v>0</v>
      </c>
      <c r="DJ365" s="2"/>
    </row>
    <row r="366" spans="80:114" x14ac:dyDescent="0.3">
      <c r="CB366" s="18"/>
      <c r="CC366" s="19"/>
      <c r="CD366" s="19"/>
      <c r="CE366" s="19"/>
      <c r="CF366" s="19"/>
      <c r="CG366" s="19"/>
      <c r="CH366" s="19"/>
      <c r="CI366" s="20"/>
      <c r="CJ366" s="20"/>
      <c r="CN366" s="18"/>
      <c r="CO366" s="19"/>
      <c r="CP366" s="19"/>
      <c r="CQ366" s="19"/>
      <c r="CR366" s="19"/>
      <c r="CS366" s="19"/>
      <c r="CT366" s="19"/>
      <c r="CU366" s="20"/>
      <c r="CV366" s="20"/>
      <c r="DA366" s="18">
        <f t="shared" si="67"/>
        <v>0</v>
      </c>
      <c r="DB366" s="19">
        <f t="shared" si="68"/>
        <v>0</v>
      </c>
      <c r="DC366" s="19">
        <f t="shared" si="69"/>
        <v>0</v>
      </c>
      <c r="DD366" s="19">
        <f t="shared" si="70"/>
        <v>0</v>
      </c>
      <c r="DE366" s="19">
        <f t="shared" si="71"/>
        <v>0</v>
      </c>
      <c r="DF366" s="19">
        <f t="shared" si="72"/>
        <v>0</v>
      </c>
      <c r="DG366" s="19">
        <f t="shared" si="73"/>
        <v>0</v>
      </c>
      <c r="DH366" s="20">
        <f t="shared" si="74"/>
        <v>0</v>
      </c>
      <c r="DI366" s="20">
        <f t="shared" si="75"/>
        <v>0</v>
      </c>
      <c r="DJ366" s="2"/>
    </row>
    <row r="367" spans="80:114" x14ac:dyDescent="0.3">
      <c r="CB367" s="18"/>
      <c r="CC367" s="19"/>
      <c r="CD367" s="19"/>
      <c r="CE367" s="19"/>
      <c r="CF367" s="19"/>
      <c r="CG367" s="19"/>
      <c r="CH367" s="19"/>
      <c r="CI367" s="20"/>
      <c r="CJ367" s="20"/>
      <c r="CN367" s="18"/>
      <c r="CO367" s="19"/>
      <c r="CP367" s="19"/>
      <c r="CQ367" s="19"/>
      <c r="CR367" s="19"/>
      <c r="CS367" s="19"/>
      <c r="CT367" s="19"/>
      <c r="CU367" s="20"/>
      <c r="CV367" s="20"/>
      <c r="DA367" s="18">
        <f t="shared" si="67"/>
        <v>0</v>
      </c>
      <c r="DB367" s="19">
        <f t="shared" si="68"/>
        <v>0</v>
      </c>
      <c r="DC367" s="19">
        <f t="shared" si="69"/>
        <v>0</v>
      </c>
      <c r="DD367" s="19">
        <f t="shared" si="70"/>
        <v>0</v>
      </c>
      <c r="DE367" s="19">
        <f t="shared" si="71"/>
        <v>0</v>
      </c>
      <c r="DF367" s="19">
        <f t="shared" si="72"/>
        <v>0</v>
      </c>
      <c r="DG367" s="19">
        <f t="shared" si="73"/>
        <v>0</v>
      </c>
      <c r="DH367" s="20">
        <f t="shared" si="74"/>
        <v>0</v>
      </c>
      <c r="DI367" s="20">
        <f t="shared" si="75"/>
        <v>0</v>
      </c>
      <c r="DJ367" s="2"/>
    </row>
    <row r="368" spans="80:114" x14ac:dyDescent="0.3">
      <c r="CB368" s="18"/>
      <c r="CC368" s="19"/>
      <c r="CD368" s="19"/>
      <c r="CE368" s="19"/>
      <c r="CF368" s="19"/>
      <c r="CG368" s="19"/>
      <c r="CH368" s="19"/>
      <c r="CI368" s="20"/>
      <c r="CJ368" s="20"/>
      <c r="CN368" s="18"/>
      <c r="CO368" s="19"/>
      <c r="CP368" s="19"/>
      <c r="CQ368" s="19"/>
      <c r="CR368" s="19"/>
      <c r="CS368" s="19"/>
      <c r="CT368" s="19"/>
      <c r="CU368" s="20"/>
      <c r="CV368" s="20"/>
      <c r="DA368" s="18">
        <f t="shared" si="67"/>
        <v>0</v>
      </c>
      <c r="DB368" s="19">
        <f t="shared" si="68"/>
        <v>0</v>
      </c>
      <c r="DC368" s="19">
        <f t="shared" si="69"/>
        <v>0</v>
      </c>
      <c r="DD368" s="19">
        <f t="shared" si="70"/>
        <v>0</v>
      </c>
      <c r="DE368" s="19">
        <f t="shared" si="71"/>
        <v>0</v>
      </c>
      <c r="DF368" s="19">
        <f t="shared" si="72"/>
        <v>0</v>
      </c>
      <c r="DG368" s="19">
        <f t="shared" si="73"/>
        <v>0</v>
      </c>
      <c r="DH368" s="20">
        <f t="shared" si="74"/>
        <v>0</v>
      </c>
      <c r="DI368" s="20">
        <f t="shared" si="75"/>
        <v>0</v>
      </c>
      <c r="DJ368" s="2"/>
    </row>
    <row r="369" spans="80:114" x14ac:dyDescent="0.3">
      <c r="CB369" s="18"/>
      <c r="CC369" s="19"/>
      <c r="CD369" s="19"/>
      <c r="CE369" s="19"/>
      <c r="CF369" s="19"/>
      <c r="CG369" s="19"/>
      <c r="CH369" s="19"/>
      <c r="CI369" s="20"/>
      <c r="CJ369" s="20"/>
      <c r="CN369" s="18"/>
      <c r="CO369" s="19"/>
      <c r="CP369" s="19"/>
      <c r="CQ369" s="19"/>
      <c r="CR369" s="19"/>
      <c r="CS369" s="19"/>
      <c r="CT369" s="19"/>
      <c r="CU369" s="20"/>
      <c r="CV369" s="20"/>
      <c r="DA369" s="18">
        <f t="shared" si="67"/>
        <v>0</v>
      </c>
      <c r="DB369" s="19">
        <f t="shared" si="68"/>
        <v>0</v>
      </c>
      <c r="DC369" s="19">
        <f t="shared" si="69"/>
        <v>0</v>
      </c>
      <c r="DD369" s="19">
        <f t="shared" si="70"/>
        <v>0</v>
      </c>
      <c r="DE369" s="19">
        <f t="shared" si="71"/>
        <v>0</v>
      </c>
      <c r="DF369" s="19">
        <f t="shared" si="72"/>
        <v>0</v>
      </c>
      <c r="DG369" s="19">
        <f t="shared" si="73"/>
        <v>0</v>
      </c>
      <c r="DH369" s="20">
        <f t="shared" si="74"/>
        <v>0</v>
      </c>
      <c r="DI369" s="20">
        <f t="shared" si="75"/>
        <v>0</v>
      </c>
      <c r="DJ369" s="2"/>
    </row>
    <row r="370" spans="80:114" x14ac:dyDescent="0.3">
      <c r="CB370" s="18"/>
      <c r="CC370" s="19"/>
      <c r="CD370" s="19"/>
      <c r="CE370" s="19"/>
      <c r="CF370" s="19"/>
      <c r="CG370" s="19"/>
      <c r="CH370" s="19"/>
      <c r="CI370" s="20"/>
      <c r="CJ370" s="20"/>
      <c r="CN370" s="18"/>
      <c r="CO370" s="19"/>
      <c r="CP370" s="19"/>
      <c r="CQ370" s="19"/>
      <c r="CR370" s="19"/>
      <c r="CS370" s="19"/>
      <c r="CT370" s="19"/>
      <c r="CU370" s="20"/>
      <c r="CV370" s="20"/>
      <c r="DA370" s="18">
        <f t="shared" si="67"/>
        <v>0</v>
      </c>
      <c r="DB370" s="19">
        <f t="shared" si="68"/>
        <v>0</v>
      </c>
      <c r="DC370" s="19">
        <f t="shared" si="69"/>
        <v>0</v>
      </c>
      <c r="DD370" s="19">
        <f t="shared" si="70"/>
        <v>0</v>
      </c>
      <c r="DE370" s="19">
        <f t="shared" si="71"/>
        <v>0</v>
      </c>
      <c r="DF370" s="19">
        <f t="shared" si="72"/>
        <v>0</v>
      </c>
      <c r="DG370" s="19">
        <f t="shared" si="73"/>
        <v>0</v>
      </c>
      <c r="DH370" s="20">
        <f t="shared" si="74"/>
        <v>0</v>
      </c>
      <c r="DI370" s="20">
        <f t="shared" si="75"/>
        <v>0</v>
      </c>
      <c r="DJ370" s="2"/>
    </row>
    <row r="371" spans="80:114" x14ac:dyDescent="0.3">
      <c r="CB371" s="18"/>
      <c r="CC371" s="19"/>
      <c r="CD371" s="19"/>
      <c r="CE371" s="19"/>
      <c r="CF371" s="19"/>
      <c r="CG371" s="19"/>
      <c r="CH371" s="19"/>
      <c r="CI371" s="20"/>
      <c r="CJ371" s="20"/>
      <c r="CN371" s="18"/>
      <c r="CO371" s="19"/>
      <c r="CP371" s="19"/>
      <c r="CQ371" s="19"/>
      <c r="CR371" s="19"/>
      <c r="CS371" s="19"/>
      <c r="CT371" s="19"/>
      <c r="CU371" s="20"/>
      <c r="CV371" s="20"/>
      <c r="DA371" s="18">
        <f t="shared" si="67"/>
        <v>0</v>
      </c>
      <c r="DB371" s="19">
        <f t="shared" si="68"/>
        <v>0</v>
      </c>
      <c r="DC371" s="19">
        <f t="shared" si="69"/>
        <v>0</v>
      </c>
      <c r="DD371" s="19">
        <f t="shared" si="70"/>
        <v>0</v>
      </c>
      <c r="DE371" s="19">
        <f t="shared" si="71"/>
        <v>0</v>
      </c>
      <c r="DF371" s="19">
        <f t="shared" si="72"/>
        <v>0</v>
      </c>
      <c r="DG371" s="19">
        <f t="shared" si="73"/>
        <v>0</v>
      </c>
      <c r="DH371" s="20">
        <f t="shared" si="74"/>
        <v>0</v>
      </c>
      <c r="DI371" s="20">
        <f t="shared" si="75"/>
        <v>0</v>
      </c>
      <c r="DJ371" s="2"/>
    </row>
    <row r="372" spans="80:114" x14ac:dyDescent="0.3">
      <c r="CB372" s="18"/>
      <c r="CC372" s="19"/>
      <c r="CD372" s="19"/>
      <c r="CE372" s="19"/>
      <c r="CF372" s="19"/>
      <c r="CG372" s="19"/>
      <c r="CH372" s="19"/>
      <c r="CI372" s="20"/>
      <c r="CJ372" s="20"/>
      <c r="CN372" s="18"/>
      <c r="CO372" s="19"/>
      <c r="CP372" s="19"/>
      <c r="CQ372" s="19"/>
      <c r="CR372" s="19"/>
      <c r="CS372" s="19"/>
      <c r="CT372" s="19"/>
      <c r="CU372" s="20"/>
      <c r="CV372" s="20"/>
      <c r="DA372" s="18">
        <f t="shared" si="67"/>
        <v>0</v>
      </c>
      <c r="DB372" s="19">
        <f t="shared" si="68"/>
        <v>0</v>
      </c>
      <c r="DC372" s="19">
        <f t="shared" si="69"/>
        <v>0</v>
      </c>
      <c r="DD372" s="19">
        <f t="shared" si="70"/>
        <v>0</v>
      </c>
      <c r="DE372" s="19">
        <f t="shared" si="71"/>
        <v>0</v>
      </c>
      <c r="DF372" s="19">
        <f t="shared" si="72"/>
        <v>0</v>
      </c>
      <c r="DG372" s="19">
        <f t="shared" si="73"/>
        <v>0</v>
      </c>
      <c r="DH372" s="20">
        <f t="shared" si="74"/>
        <v>0</v>
      </c>
      <c r="DI372" s="20">
        <f t="shared" si="75"/>
        <v>0</v>
      </c>
      <c r="DJ372" s="2"/>
    </row>
    <row r="373" spans="80:114" x14ac:dyDescent="0.3">
      <c r="CB373" s="18"/>
      <c r="CC373" s="19"/>
      <c r="CD373" s="19"/>
      <c r="CE373" s="19"/>
      <c r="CF373" s="19"/>
      <c r="CG373" s="19"/>
      <c r="CH373" s="19"/>
      <c r="CI373" s="20"/>
      <c r="CJ373" s="20"/>
      <c r="CN373" s="18"/>
      <c r="CO373" s="19"/>
      <c r="CP373" s="19"/>
      <c r="CQ373" s="19"/>
      <c r="CR373" s="19"/>
      <c r="CS373" s="19"/>
      <c r="CT373" s="19"/>
      <c r="CU373" s="20"/>
      <c r="CV373" s="20"/>
      <c r="DA373" s="18">
        <f t="shared" si="67"/>
        <v>0</v>
      </c>
      <c r="DB373" s="19">
        <f t="shared" si="68"/>
        <v>0</v>
      </c>
      <c r="DC373" s="19">
        <f t="shared" si="69"/>
        <v>0</v>
      </c>
      <c r="DD373" s="19">
        <f t="shared" si="70"/>
        <v>0</v>
      </c>
      <c r="DE373" s="19">
        <f t="shared" si="71"/>
        <v>0</v>
      </c>
      <c r="DF373" s="19">
        <f t="shared" si="72"/>
        <v>0</v>
      </c>
      <c r="DG373" s="19">
        <f t="shared" si="73"/>
        <v>0</v>
      </c>
      <c r="DH373" s="20">
        <f t="shared" si="74"/>
        <v>0</v>
      </c>
      <c r="DI373" s="20">
        <f t="shared" si="75"/>
        <v>0</v>
      </c>
      <c r="DJ373" s="2"/>
    </row>
    <row r="374" spans="80:114" x14ac:dyDescent="0.3">
      <c r="CB374" s="18"/>
      <c r="CC374" s="19"/>
      <c r="CD374" s="19"/>
      <c r="CE374" s="19"/>
      <c r="CF374" s="19"/>
      <c r="CG374" s="19"/>
      <c r="CH374" s="19"/>
      <c r="CI374" s="20"/>
      <c r="CJ374" s="20"/>
      <c r="CN374" s="18"/>
      <c r="CO374" s="19"/>
      <c r="CP374" s="19"/>
      <c r="CQ374" s="19"/>
      <c r="CR374" s="19"/>
      <c r="CS374" s="19"/>
      <c r="CT374" s="19"/>
      <c r="CU374" s="20"/>
      <c r="CV374" s="20"/>
      <c r="DA374" s="18">
        <f t="shared" si="67"/>
        <v>0</v>
      </c>
      <c r="DB374" s="19">
        <f t="shared" si="68"/>
        <v>0</v>
      </c>
      <c r="DC374" s="19">
        <f t="shared" si="69"/>
        <v>0</v>
      </c>
      <c r="DD374" s="19">
        <f t="shared" si="70"/>
        <v>0</v>
      </c>
      <c r="DE374" s="19">
        <f t="shared" si="71"/>
        <v>0</v>
      </c>
      <c r="DF374" s="19">
        <f t="shared" si="72"/>
        <v>0</v>
      </c>
      <c r="DG374" s="19">
        <f t="shared" si="73"/>
        <v>0</v>
      </c>
      <c r="DH374" s="20">
        <f t="shared" si="74"/>
        <v>0</v>
      </c>
      <c r="DI374" s="20">
        <f t="shared" si="75"/>
        <v>0</v>
      </c>
      <c r="DJ374" s="2"/>
    </row>
    <row r="375" spans="80:114" x14ac:dyDescent="0.3">
      <c r="CB375" s="18"/>
      <c r="CC375" s="19"/>
      <c r="CD375" s="19"/>
      <c r="CE375" s="19"/>
      <c r="CF375" s="19"/>
      <c r="CG375" s="19"/>
      <c r="CH375" s="19"/>
      <c r="CI375" s="20"/>
      <c r="CJ375" s="20"/>
      <c r="CN375" s="18"/>
      <c r="CO375" s="19"/>
      <c r="CP375" s="19"/>
      <c r="CQ375" s="19"/>
      <c r="CR375" s="19"/>
      <c r="CS375" s="19"/>
      <c r="CT375" s="19"/>
      <c r="CU375" s="20"/>
      <c r="CV375" s="20"/>
      <c r="DA375" s="18">
        <f t="shared" si="67"/>
        <v>0</v>
      </c>
      <c r="DB375" s="19">
        <f t="shared" si="68"/>
        <v>0</v>
      </c>
      <c r="DC375" s="19">
        <f t="shared" si="69"/>
        <v>0</v>
      </c>
      <c r="DD375" s="19">
        <f t="shared" si="70"/>
        <v>0</v>
      </c>
      <c r="DE375" s="19">
        <f t="shared" si="71"/>
        <v>0</v>
      </c>
      <c r="DF375" s="19">
        <f t="shared" si="72"/>
        <v>0</v>
      </c>
      <c r="DG375" s="19">
        <f t="shared" si="73"/>
        <v>0</v>
      </c>
      <c r="DH375" s="20">
        <f t="shared" si="74"/>
        <v>0</v>
      </c>
      <c r="DI375" s="20">
        <f t="shared" si="75"/>
        <v>0</v>
      </c>
      <c r="DJ375" s="2"/>
    </row>
    <row r="376" spans="80:114" x14ac:dyDescent="0.3">
      <c r="CB376" s="18"/>
      <c r="CC376" s="19"/>
      <c r="CD376" s="19"/>
      <c r="CE376" s="19"/>
      <c r="CF376" s="19"/>
      <c r="CG376" s="19"/>
      <c r="CH376" s="19"/>
      <c r="CI376" s="20"/>
      <c r="CJ376" s="20"/>
      <c r="CN376" s="18"/>
      <c r="CO376" s="19"/>
      <c r="CP376" s="19"/>
      <c r="CQ376" s="19"/>
      <c r="CR376" s="19"/>
      <c r="CS376" s="19"/>
      <c r="CT376" s="19"/>
      <c r="CU376" s="20"/>
      <c r="CV376" s="20"/>
      <c r="DA376" s="18">
        <f t="shared" si="67"/>
        <v>0</v>
      </c>
      <c r="DB376" s="19">
        <f t="shared" si="68"/>
        <v>0</v>
      </c>
      <c r="DC376" s="19">
        <f t="shared" si="69"/>
        <v>0</v>
      </c>
      <c r="DD376" s="19">
        <f t="shared" si="70"/>
        <v>0</v>
      </c>
      <c r="DE376" s="19">
        <f t="shared" si="71"/>
        <v>0</v>
      </c>
      <c r="DF376" s="19">
        <f t="shared" si="72"/>
        <v>0</v>
      </c>
      <c r="DG376" s="19">
        <f t="shared" si="73"/>
        <v>0</v>
      </c>
      <c r="DH376" s="20">
        <f t="shared" si="74"/>
        <v>0</v>
      </c>
      <c r="DI376" s="20">
        <f t="shared" si="75"/>
        <v>0</v>
      </c>
      <c r="DJ376" s="2"/>
    </row>
    <row r="377" spans="80:114" x14ac:dyDescent="0.3">
      <c r="CB377" s="18"/>
      <c r="CC377" s="19"/>
      <c r="CD377" s="19"/>
      <c r="CE377" s="19"/>
      <c r="CF377" s="19"/>
      <c r="CG377" s="19"/>
      <c r="CH377" s="19"/>
      <c r="CI377" s="20"/>
      <c r="CJ377" s="20"/>
      <c r="CN377" s="18"/>
      <c r="CO377" s="19"/>
      <c r="CP377" s="19"/>
      <c r="CQ377" s="19"/>
      <c r="CR377" s="19"/>
      <c r="CS377" s="19"/>
      <c r="CT377" s="19"/>
      <c r="CU377" s="20"/>
      <c r="CV377" s="20"/>
      <c r="DA377" s="18">
        <f t="shared" si="67"/>
        <v>0</v>
      </c>
      <c r="DB377" s="19">
        <f t="shared" si="68"/>
        <v>0</v>
      </c>
      <c r="DC377" s="19">
        <f t="shared" si="69"/>
        <v>0</v>
      </c>
      <c r="DD377" s="19">
        <f t="shared" si="70"/>
        <v>0</v>
      </c>
      <c r="DE377" s="19">
        <f t="shared" si="71"/>
        <v>0</v>
      </c>
      <c r="DF377" s="19">
        <f t="shared" si="72"/>
        <v>0</v>
      </c>
      <c r="DG377" s="19">
        <f t="shared" si="73"/>
        <v>0</v>
      </c>
      <c r="DH377" s="20">
        <f t="shared" si="74"/>
        <v>0</v>
      </c>
      <c r="DI377" s="20">
        <f t="shared" si="75"/>
        <v>0</v>
      </c>
      <c r="DJ377" s="2"/>
    </row>
    <row r="378" spans="80:114" x14ac:dyDescent="0.3">
      <c r="CB378" s="18"/>
      <c r="CC378" s="19"/>
      <c r="CD378" s="19"/>
      <c r="CE378" s="19"/>
      <c r="CF378" s="19"/>
      <c r="CG378" s="19"/>
      <c r="CH378" s="19"/>
      <c r="CI378" s="20"/>
      <c r="CJ378" s="20"/>
      <c r="CN378" s="18"/>
      <c r="CO378" s="19"/>
      <c r="CP378" s="19"/>
      <c r="CQ378" s="19"/>
      <c r="CR378" s="19"/>
      <c r="CS378" s="19"/>
      <c r="CT378" s="19"/>
      <c r="CU378" s="20"/>
      <c r="CV378" s="20"/>
      <c r="DA378" s="18">
        <f t="shared" si="67"/>
        <v>0</v>
      </c>
      <c r="DB378" s="19">
        <f t="shared" si="68"/>
        <v>0</v>
      </c>
      <c r="DC378" s="19">
        <f t="shared" si="69"/>
        <v>0</v>
      </c>
      <c r="DD378" s="19">
        <f t="shared" si="70"/>
        <v>0</v>
      </c>
      <c r="DE378" s="19">
        <f t="shared" si="71"/>
        <v>0</v>
      </c>
      <c r="DF378" s="19">
        <f t="shared" si="72"/>
        <v>0</v>
      </c>
      <c r="DG378" s="19">
        <f t="shared" si="73"/>
        <v>0</v>
      </c>
      <c r="DH378" s="20">
        <f t="shared" si="74"/>
        <v>0</v>
      </c>
      <c r="DI378" s="20">
        <f t="shared" si="75"/>
        <v>0</v>
      </c>
      <c r="DJ378" s="2"/>
    </row>
    <row r="379" spans="80:114" x14ac:dyDescent="0.3">
      <c r="CB379" s="18"/>
      <c r="CC379" s="19"/>
      <c r="CD379" s="19"/>
      <c r="CE379" s="19"/>
      <c r="CF379" s="19"/>
      <c r="CG379" s="19"/>
      <c r="CH379" s="19"/>
      <c r="CI379" s="20"/>
      <c r="CJ379" s="20"/>
      <c r="CN379" s="18"/>
      <c r="CO379" s="19"/>
      <c r="CP379" s="19"/>
      <c r="CQ379" s="19"/>
      <c r="CR379" s="19"/>
      <c r="CS379" s="19"/>
      <c r="CT379" s="19"/>
      <c r="CU379" s="20"/>
      <c r="CV379" s="20"/>
      <c r="DA379" s="18">
        <f t="shared" si="67"/>
        <v>0</v>
      </c>
      <c r="DB379" s="19">
        <f t="shared" si="68"/>
        <v>0</v>
      </c>
      <c r="DC379" s="19">
        <f t="shared" si="69"/>
        <v>0</v>
      </c>
      <c r="DD379" s="19">
        <f t="shared" si="70"/>
        <v>0</v>
      </c>
      <c r="DE379" s="19">
        <f t="shared" si="71"/>
        <v>0</v>
      </c>
      <c r="DF379" s="19">
        <f t="shared" si="72"/>
        <v>0</v>
      </c>
      <c r="DG379" s="19">
        <f t="shared" si="73"/>
        <v>0</v>
      </c>
      <c r="DH379" s="20">
        <f t="shared" si="74"/>
        <v>0</v>
      </c>
      <c r="DI379" s="20">
        <f t="shared" si="75"/>
        <v>0</v>
      </c>
      <c r="DJ379" s="2"/>
    </row>
    <row r="380" spans="80:114" x14ac:dyDescent="0.3">
      <c r="CB380" s="18"/>
      <c r="CC380" s="19"/>
      <c r="CD380" s="19"/>
      <c r="CE380" s="19"/>
      <c r="CF380" s="19"/>
      <c r="CG380" s="19"/>
      <c r="CH380" s="19"/>
      <c r="CI380" s="20"/>
      <c r="CJ380" s="20"/>
      <c r="CN380" s="18"/>
      <c r="CO380" s="19"/>
      <c r="CP380" s="19"/>
      <c r="CQ380" s="19"/>
      <c r="CR380" s="19"/>
      <c r="CS380" s="19"/>
      <c r="CT380" s="19"/>
      <c r="CU380" s="20"/>
      <c r="CV380" s="20"/>
      <c r="DA380" s="18">
        <f t="shared" si="67"/>
        <v>0</v>
      </c>
      <c r="DB380" s="19">
        <f t="shared" si="68"/>
        <v>0</v>
      </c>
      <c r="DC380" s="19">
        <f t="shared" si="69"/>
        <v>0</v>
      </c>
      <c r="DD380" s="19">
        <f t="shared" si="70"/>
        <v>0</v>
      </c>
      <c r="DE380" s="19">
        <f t="shared" si="71"/>
        <v>0</v>
      </c>
      <c r="DF380" s="19">
        <f t="shared" si="72"/>
        <v>0</v>
      </c>
      <c r="DG380" s="19">
        <f t="shared" si="73"/>
        <v>0</v>
      </c>
      <c r="DH380" s="20">
        <f t="shared" si="74"/>
        <v>0</v>
      </c>
      <c r="DI380" s="20">
        <f t="shared" si="75"/>
        <v>0</v>
      </c>
      <c r="DJ380" s="2"/>
    </row>
    <row r="381" spans="80:114" x14ac:dyDescent="0.3">
      <c r="CB381" s="18"/>
      <c r="CC381" s="19"/>
      <c r="CD381" s="19"/>
      <c r="CE381" s="19"/>
      <c r="CF381" s="19"/>
      <c r="CG381" s="19"/>
      <c r="CH381" s="19"/>
      <c r="CI381" s="20"/>
      <c r="CJ381" s="20"/>
      <c r="CN381" s="18"/>
      <c r="CO381" s="19"/>
      <c r="CP381" s="19"/>
      <c r="CQ381" s="19"/>
      <c r="CR381" s="19"/>
      <c r="CS381" s="19"/>
      <c r="CT381" s="19"/>
      <c r="CU381" s="20"/>
      <c r="CV381" s="20"/>
      <c r="DA381" s="18">
        <f t="shared" si="67"/>
        <v>0</v>
      </c>
      <c r="DB381" s="19">
        <f t="shared" si="68"/>
        <v>0</v>
      </c>
      <c r="DC381" s="19">
        <f t="shared" si="69"/>
        <v>0</v>
      </c>
      <c r="DD381" s="19">
        <f t="shared" si="70"/>
        <v>0</v>
      </c>
      <c r="DE381" s="19">
        <f t="shared" si="71"/>
        <v>0</v>
      </c>
      <c r="DF381" s="19">
        <f t="shared" si="72"/>
        <v>0</v>
      </c>
      <c r="DG381" s="19">
        <f t="shared" si="73"/>
        <v>0</v>
      </c>
      <c r="DH381" s="20">
        <f t="shared" si="74"/>
        <v>0</v>
      </c>
      <c r="DI381" s="20">
        <f t="shared" si="75"/>
        <v>0</v>
      </c>
      <c r="DJ381" s="2"/>
    </row>
    <row r="382" spans="80:114" x14ac:dyDescent="0.3">
      <c r="CB382" s="18"/>
      <c r="CC382" s="19"/>
      <c r="CD382" s="19"/>
      <c r="CE382" s="19"/>
      <c r="CF382" s="19"/>
      <c r="CG382" s="19"/>
      <c r="CH382" s="19"/>
      <c r="CI382" s="20"/>
      <c r="CJ382" s="20"/>
      <c r="CN382" s="18"/>
      <c r="CO382" s="19"/>
      <c r="CP382" s="19"/>
      <c r="CQ382" s="19"/>
      <c r="CR382" s="19"/>
      <c r="CS382" s="19"/>
      <c r="CT382" s="19"/>
      <c r="CU382" s="20"/>
      <c r="CV382" s="20"/>
      <c r="DA382" s="18">
        <f t="shared" si="67"/>
        <v>0</v>
      </c>
      <c r="DB382" s="19">
        <f t="shared" si="68"/>
        <v>0</v>
      </c>
      <c r="DC382" s="19">
        <f t="shared" si="69"/>
        <v>0</v>
      </c>
      <c r="DD382" s="19">
        <f t="shared" si="70"/>
        <v>0</v>
      </c>
      <c r="DE382" s="19">
        <f t="shared" si="71"/>
        <v>0</v>
      </c>
      <c r="DF382" s="19">
        <f t="shared" si="72"/>
        <v>0</v>
      </c>
      <c r="DG382" s="19">
        <f t="shared" si="73"/>
        <v>0</v>
      </c>
      <c r="DH382" s="20">
        <f t="shared" si="74"/>
        <v>0</v>
      </c>
      <c r="DI382" s="20">
        <f t="shared" si="75"/>
        <v>0</v>
      </c>
      <c r="DJ382" s="2"/>
    </row>
    <row r="383" spans="80:114" x14ac:dyDescent="0.3">
      <c r="CB383" s="18"/>
      <c r="CC383" s="19"/>
      <c r="CD383" s="19"/>
      <c r="CE383" s="19"/>
      <c r="CF383" s="19"/>
      <c r="CG383" s="19"/>
      <c r="CH383" s="19"/>
      <c r="CI383" s="20"/>
      <c r="CJ383" s="20"/>
      <c r="CN383" s="18"/>
      <c r="CO383" s="19"/>
      <c r="CP383" s="19"/>
      <c r="CQ383" s="19"/>
      <c r="CR383" s="19"/>
      <c r="CS383" s="19"/>
      <c r="CT383" s="19"/>
      <c r="CU383" s="20"/>
      <c r="CV383" s="20"/>
      <c r="DA383" s="18">
        <f t="shared" si="67"/>
        <v>0</v>
      </c>
      <c r="DB383" s="19">
        <f t="shared" si="68"/>
        <v>0</v>
      </c>
      <c r="DC383" s="19">
        <f t="shared" si="69"/>
        <v>0</v>
      </c>
      <c r="DD383" s="19">
        <f t="shared" si="70"/>
        <v>0</v>
      </c>
      <c r="DE383" s="19">
        <f t="shared" si="71"/>
        <v>0</v>
      </c>
      <c r="DF383" s="19">
        <f t="shared" si="72"/>
        <v>0</v>
      </c>
      <c r="DG383" s="19">
        <f t="shared" si="73"/>
        <v>0</v>
      </c>
      <c r="DH383" s="20">
        <f t="shared" si="74"/>
        <v>0</v>
      </c>
      <c r="DI383" s="20">
        <f t="shared" si="75"/>
        <v>0</v>
      </c>
      <c r="DJ383" s="2"/>
    </row>
    <row r="384" spans="80:114" x14ac:dyDescent="0.3">
      <c r="CB384" s="18"/>
      <c r="CC384" s="19"/>
      <c r="CD384" s="19"/>
      <c r="CE384" s="19"/>
      <c r="CF384" s="19"/>
      <c r="CG384" s="19"/>
      <c r="CH384" s="19"/>
      <c r="CI384" s="20"/>
      <c r="CJ384" s="20"/>
      <c r="CN384" s="18"/>
      <c r="CO384" s="19"/>
      <c r="CP384" s="19"/>
      <c r="CQ384" s="19"/>
      <c r="CR384" s="19"/>
      <c r="CS384" s="19"/>
      <c r="CT384" s="19"/>
      <c r="CU384" s="20"/>
      <c r="CV384" s="20"/>
      <c r="DA384" s="18">
        <f t="shared" si="67"/>
        <v>0</v>
      </c>
      <c r="DB384" s="19">
        <f t="shared" si="68"/>
        <v>0</v>
      </c>
      <c r="DC384" s="19">
        <f t="shared" si="69"/>
        <v>0</v>
      </c>
      <c r="DD384" s="19">
        <f t="shared" si="70"/>
        <v>0</v>
      </c>
      <c r="DE384" s="19">
        <f t="shared" si="71"/>
        <v>0</v>
      </c>
      <c r="DF384" s="19">
        <f t="shared" si="72"/>
        <v>0</v>
      </c>
      <c r="DG384" s="19">
        <f t="shared" si="73"/>
        <v>0</v>
      </c>
      <c r="DH384" s="20">
        <f t="shared" si="74"/>
        <v>0</v>
      </c>
      <c r="DI384" s="20">
        <f t="shared" si="75"/>
        <v>0</v>
      </c>
      <c r="DJ384" s="2"/>
    </row>
    <row r="385" spans="80:114" x14ac:dyDescent="0.3">
      <c r="CB385" s="18"/>
      <c r="CC385" s="19"/>
      <c r="CD385" s="19"/>
      <c r="CE385" s="19"/>
      <c r="CF385" s="19"/>
      <c r="CG385" s="19"/>
      <c r="CH385" s="19"/>
      <c r="CI385" s="20"/>
      <c r="CJ385" s="20"/>
      <c r="CN385" s="18"/>
      <c r="CO385" s="19"/>
      <c r="CP385" s="19"/>
      <c r="CQ385" s="19"/>
      <c r="CR385" s="19"/>
      <c r="CS385" s="19"/>
      <c r="CT385" s="19"/>
      <c r="CU385" s="20"/>
      <c r="CV385" s="20"/>
      <c r="DA385" s="18">
        <f t="shared" si="67"/>
        <v>0</v>
      </c>
      <c r="DB385" s="19">
        <f t="shared" si="68"/>
        <v>0</v>
      </c>
      <c r="DC385" s="19">
        <f t="shared" si="69"/>
        <v>0</v>
      </c>
      <c r="DD385" s="19">
        <f t="shared" si="70"/>
        <v>0</v>
      </c>
      <c r="DE385" s="19">
        <f t="shared" si="71"/>
        <v>0</v>
      </c>
      <c r="DF385" s="19">
        <f t="shared" si="72"/>
        <v>0</v>
      </c>
      <c r="DG385" s="19">
        <f t="shared" si="73"/>
        <v>0</v>
      </c>
      <c r="DH385" s="20">
        <f t="shared" si="74"/>
        <v>0</v>
      </c>
      <c r="DI385" s="20">
        <f t="shared" si="75"/>
        <v>0</v>
      </c>
      <c r="DJ385" s="2"/>
    </row>
    <row r="386" spans="80:114" x14ac:dyDescent="0.3">
      <c r="CB386" s="18"/>
      <c r="CC386" s="19"/>
      <c r="CD386" s="19"/>
      <c r="CE386" s="19"/>
      <c r="CF386" s="19"/>
      <c r="CG386" s="19"/>
      <c r="CH386" s="19"/>
      <c r="CI386" s="20"/>
      <c r="CJ386" s="20"/>
      <c r="CN386" s="18"/>
      <c r="CO386" s="19"/>
      <c r="CP386" s="19"/>
      <c r="CQ386" s="19"/>
      <c r="CR386" s="19"/>
      <c r="CS386" s="19"/>
      <c r="CT386" s="19"/>
      <c r="CU386" s="20"/>
      <c r="CV386" s="20"/>
      <c r="DA386" s="18">
        <f t="shared" si="67"/>
        <v>0</v>
      </c>
      <c r="DB386" s="19">
        <f t="shared" si="68"/>
        <v>0</v>
      </c>
      <c r="DC386" s="19">
        <f t="shared" si="69"/>
        <v>0</v>
      </c>
      <c r="DD386" s="19">
        <f t="shared" si="70"/>
        <v>0</v>
      </c>
      <c r="DE386" s="19">
        <f t="shared" si="71"/>
        <v>0</v>
      </c>
      <c r="DF386" s="19">
        <f t="shared" si="72"/>
        <v>0</v>
      </c>
      <c r="DG386" s="19">
        <f t="shared" si="73"/>
        <v>0</v>
      </c>
      <c r="DH386" s="20">
        <f t="shared" si="74"/>
        <v>0</v>
      </c>
      <c r="DI386" s="20">
        <f t="shared" si="75"/>
        <v>0</v>
      </c>
      <c r="DJ386" s="2"/>
    </row>
    <row r="387" spans="80:114" x14ac:dyDescent="0.3">
      <c r="CB387" s="18"/>
      <c r="CC387" s="19"/>
      <c r="CD387" s="19"/>
      <c r="CE387" s="19"/>
      <c r="CF387" s="19"/>
      <c r="CG387" s="19"/>
      <c r="CH387" s="19"/>
      <c r="CI387" s="20"/>
      <c r="CJ387" s="20"/>
      <c r="CN387" s="18"/>
      <c r="CO387" s="19"/>
      <c r="CP387" s="19"/>
      <c r="CQ387" s="19"/>
      <c r="CR387" s="19"/>
      <c r="CS387" s="19"/>
      <c r="CT387" s="19"/>
      <c r="CU387" s="20"/>
      <c r="CV387" s="20"/>
      <c r="DA387" s="18">
        <f t="shared" ref="DA387:DA450" si="76">IF($BZ$2=1,CN387,CB387)</f>
        <v>0</v>
      </c>
      <c r="DB387" s="19">
        <f t="shared" ref="DB387:DB450" si="77">IF($BZ$2=1,CO387,CC387)</f>
        <v>0</v>
      </c>
      <c r="DC387" s="19">
        <f t="shared" ref="DC387:DC450" si="78">IF($BZ$2=1,CP387,CD387)</f>
        <v>0</v>
      </c>
      <c r="DD387" s="19">
        <f t="shared" ref="DD387:DD450" si="79">IF($BZ$2=1,CQ387,CE387)</f>
        <v>0</v>
      </c>
      <c r="DE387" s="19">
        <f t="shared" ref="DE387:DE450" si="80">IF($BZ$2=1,CR387,CF387)</f>
        <v>0</v>
      </c>
      <c r="DF387" s="19">
        <f t="shared" ref="DF387:DF450" si="81">IF($BZ$2=1,CS387,CG387)</f>
        <v>0</v>
      </c>
      <c r="DG387" s="19">
        <f t="shared" ref="DG387:DG450" si="82">IF($BZ$2=1,CT387,CH387)</f>
        <v>0</v>
      </c>
      <c r="DH387" s="20">
        <f t="shared" ref="DH387:DH450" si="83">IF($BZ$2=1,CU387,CI387)</f>
        <v>0</v>
      </c>
      <c r="DI387" s="20">
        <f t="shared" ref="DI387:DI450" si="84">IF($BZ$2=1,CV387,CJ387)</f>
        <v>0</v>
      </c>
      <c r="DJ387" s="2"/>
    </row>
    <row r="388" spans="80:114" x14ac:dyDescent="0.3">
      <c r="CB388" s="18"/>
      <c r="CC388" s="19"/>
      <c r="CD388" s="19"/>
      <c r="CE388" s="19"/>
      <c r="CF388" s="19"/>
      <c r="CG388" s="19"/>
      <c r="CH388" s="19"/>
      <c r="CI388" s="20"/>
      <c r="CJ388" s="20"/>
      <c r="CN388" s="18"/>
      <c r="CO388" s="19"/>
      <c r="CP388" s="19"/>
      <c r="CQ388" s="19"/>
      <c r="CR388" s="19"/>
      <c r="CS388" s="19"/>
      <c r="CT388" s="19"/>
      <c r="CU388" s="20"/>
      <c r="CV388" s="20"/>
      <c r="DA388" s="18">
        <f t="shared" si="76"/>
        <v>0</v>
      </c>
      <c r="DB388" s="19">
        <f t="shared" si="77"/>
        <v>0</v>
      </c>
      <c r="DC388" s="19">
        <f t="shared" si="78"/>
        <v>0</v>
      </c>
      <c r="DD388" s="19">
        <f t="shared" si="79"/>
        <v>0</v>
      </c>
      <c r="DE388" s="19">
        <f t="shared" si="80"/>
        <v>0</v>
      </c>
      <c r="DF388" s="19">
        <f t="shared" si="81"/>
        <v>0</v>
      </c>
      <c r="DG388" s="19">
        <f t="shared" si="82"/>
        <v>0</v>
      </c>
      <c r="DH388" s="20">
        <f t="shared" si="83"/>
        <v>0</v>
      </c>
      <c r="DI388" s="20">
        <f t="shared" si="84"/>
        <v>0</v>
      </c>
      <c r="DJ388" s="2"/>
    </row>
    <row r="389" spans="80:114" x14ac:dyDescent="0.3">
      <c r="CB389" s="18"/>
      <c r="CC389" s="19"/>
      <c r="CD389" s="19"/>
      <c r="CE389" s="19"/>
      <c r="CF389" s="19"/>
      <c r="CG389" s="19"/>
      <c r="CH389" s="19"/>
      <c r="CI389" s="20"/>
      <c r="CJ389" s="20"/>
      <c r="CN389" s="18"/>
      <c r="CO389" s="19"/>
      <c r="CP389" s="19"/>
      <c r="CQ389" s="19"/>
      <c r="CR389" s="19"/>
      <c r="CS389" s="19"/>
      <c r="CT389" s="19"/>
      <c r="CU389" s="20"/>
      <c r="CV389" s="20"/>
      <c r="DA389" s="18">
        <f t="shared" si="76"/>
        <v>0</v>
      </c>
      <c r="DB389" s="19">
        <f t="shared" si="77"/>
        <v>0</v>
      </c>
      <c r="DC389" s="19">
        <f t="shared" si="78"/>
        <v>0</v>
      </c>
      <c r="DD389" s="19">
        <f t="shared" si="79"/>
        <v>0</v>
      </c>
      <c r="DE389" s="19">
        <f t="shared" si="80"/>
        <v>0</v>
      </c>
      <c r="DF389" s="19">
        <f t="shared" si="81"/>
        <v>0</v>
      </c>
      <c r="DG389" s="19">
        <f t="shared" si="82"/>
        <v>0</v>
      </c>
      <c r="DH389" s="20">
        <f t="shared" si="83"/>
        <v>0</v>
      </c>
      <c r="DI389" s="20">
        <f t="shared" si="84"/>
        <v>0</v>
      </c>
      <c r="DJ389" s="2"/>
    </row>
    <row r="390" spans="80:114" x14ac:dyDescent="0.3">
      <c r="CB390" s="18"/>
      <c r="CC390" s="19"/>
      <c r="CD390" s="19"/>
      <c r="CE390" s="19"/>
      <c r="CF390" s="19"/>
      <c r="CG390" s="19"/>
      <c r="CH390" s="19"/>
      <c r="CI390" s="20"/>
      <c r="CJ390" s="20"/>
      <c r="CN390" s="18"/>
      <c r="CO390" s="19"/>
      <c r="CP390" s="19"/>
      <c r="CQ390" s="19"/>
      <c r="CR390" s="19"/>
      <c r="CS390" s="19"/>
      <c r="CT390" s="19"/>
      <c r="CU390" s="20"/>
      <c r="CV390" s="20"/>
      <c r="DA390" s="18">
        <f t="shared" si="76"/>
        <v>0</v>
      </c>
      <c r="DB390" s="19">
        <f t="shared" si="77"/>
        <v>0</v>
      </c>
      <c r="DC390" s="19">
        <f t="shared" si="78"/>
        <v>0</v>
      </c>
      <c r="DD390" s="19">
        <f t="shared" si="79"/>
        <v>0</v>
      </c>
      <c r="DE390" s="19">
        <f t="shared" si="80"/>
        <v>0</v>
      </c>
      <c r="DF390" s="19">
        <f t="shared" si="81"/>
        <v>0</v>
      </c>
      <c r="DG390" s="19">
        <f t="shared" si="82"/>
        <v>0</v>
      </c>
      <c r="DH390" s="20">
        <f t="shared" si="83"/>
        <v>0</v>
      </c>
      <c r="DI390" s="20">
        <f t="shared" si="84"/>
        <v>0</v>
      </c>
      <c r="DJ390" s="2"/>
    </row>
    <row r="391" spans="80:114" x14ac:dyDescent="0.3">
      <c r="CB391" s="18"/>
      <c r="CC391" s="19"/>
      <c r="CD391" s="19"/>
      <c r="CE391" s="19"/>
      <c r="CF391" s="19"/>
      <c r="CG391" s="19"/>
      <c r="CH391" s="19"/>
      <c r="CI391" s="20"/>
      <c r="CJ391" s="20"/>
      <c r="CN391" s="18"/>
      <c r="CO391" s="19"/>
      <c r="CP391" s="19"/>
      <c r="CQ391" s="19"/>
      <c r="CR391" s="19"/>
      <c r="CS391" s="19"/>
      <c r="CT391" s="19"/>
      <c r="CU391" s="20"/>
      <c r="CV391" s="20"/>
      <c r="DA391" s="18">
        <f t="shared" si="76"/>
        <v>0</v>
      </c>
      <c r="DB391" s="19">
        <f t="shared" si="77"/>
        <v>0</v>
      </c>
      <c r="DC391" s="19">
        <f t="shared" si="78"/>
        <v>0</v>
      </c>
      <c r="DD391" s="19">
        <f t="shared" si="79"/>
        <v>0</v>
      </c>
      <c r="DE391" s="19">
        <f t="shared" si="80"/>
        <v>0</v>
      </c>
      <c r="DF391" s="19">
        <f t="shared" si="81"/>
        <v>0</v>
      </c>
      <c r="DG391" s="19">
        <f t="shared" si="82"/>
        <v>0</v>
      </c>
      <c r="DH391" s="20">
        <f t="shared" si="83"/>
        <v>0</v>
      </c>
      <c r="DI391" s="20">
        <f t="shared" si="84"/>
        <v>0</v>
      </c>
      <c r="DJ391" s="2"/>
    </row>
    <row r="392" spans="80:114" x14ac:dyDescent="0.3">
      <c r="CB392" s="18"/>
      <c r="CC392" s="19"/>
      <c r="CD392" s="19"/>
      <c r="CE392" s="19"/>
      <c r="CF392" s="19"/>
      <c r="CG392" s="19"/>
      <c r="CH392" s="19"/>
      <c r="CI392" s="20"/>
      <c r="CJ392" s="20"/>
      <c r="CN392" s="18"/>
      <c r="CO392" s="19"/>
      <c r="CP392" s="19"/>
      <c r="CQ392" s="19"/>
      <c r="CR392" s="19"/>
      <c r="CS392" s="19"/>
      <c r="CT392" s="19"/>
      <c r="CU392" s="20"/>
      <c r="CV392" s="20"/>
      <c r="DA392" s="18">
        <f t="shared" si="76"/>
        <v>0</v>
      </c>
      <c r="DB392" s="19">
        <f t="shared" si="77"/>
        <v>0</v>
      </c>
      <c r="DC392" s="19">
        <f t="shared" si="78"/>
        <v>0</v>
      </c>
      <c r="DD392" s="19">
        <f t="shared" si="79"/>
        <v>0</v>
      </c>
      <c r="DE392" s="19">
        <f t="shared" si="80"/>
        <v>0</v>
      </c>
      <c r="DF392" s="19">
        <f t="shared" si="81"/>
        <v>0</v>
      </c>
      <c r="DG392" s="19">
        <f t="shared" si="82"/>
        <v>0</v>
      </c>
      <c r="DH392" s="20">
        <f t="shared" si="83"/>
        <v>0</v>
      </c>
      <c r="DI392" s="20">
        <f t="shared" si="84"/>
        <v>0</v>
      </c>
      <c r="DJ392" s="2"/>
    </row>
    <row r="393" spans="80:114" x14ac:dyDescent="0.3">
      <c r="CB393" s="18"/>
      <c r="CC393" s="19"/>
      <c r="CD393" s="19"/>
      <c r="CE393" s="19"/>
      <c r="CF393" s="19"/>
      <c r="CG393" s="19"/>
      <c r="CH393" s="19"/>
      <c r="CI393" s="20"/>
      <c r="CJ393" s="20"/>
      <c r="CN393" s="18"/>
      <c r="CO393" s="19"/>
      <c r="CP393" s="19"/>
      <c r="CQ393" s="19"/>
      <c r="CR393" s="19"/>
      <c r="CS393" s="19"/>
      <c r="CT393" s="19"/>
      <c r="CU393" s="20"/>
      <c r="CV393" s="20"/>
      <c r="DA393" s="18">
        <f t="shared" si="76"/>
        <v>0</v>
      </c>
      <c r="DB393" s="19">
        <f t="shared" si="77"/>
        <v>0</v>
      </c>
      <c r="DC393" s="19">
        <f t="shared" si="78"/>
        <v>0</v>
      </c>
      <c r="DD393" s="19">
        <f t="shared" si="79"/>
        <v>0</v>
      </c>
      <c r="DE393" s="19">
        <f t="shared" si="80"/>
        <v>0</v>
      </c>
      <c r="DF393" s="19">
        <f t="shared" si="81"/>
        <v>0</v>
      </c>
      <c r="DG393" s="19">
        <f t="shared" si="82"/>
        <v>0</v>
      </c>
      <c r="DH393" s="20">
        <f t="shared" si="83"/>
        <v>0</v>
      </c>
      <c r="DI393" s="20">
        <f t="shared" si="84"/>
        <v>0</v>
      </c>
      <c r="DJ393" s="2"/>
    </row>
    <row r="394" spans="80:114" x14ac:dyDescent="0.3">
      <c r="CB394" s="18"/>
      <c r="CC394" s="19"/>
      <c r="CD394" s="19"/>
      <c r="CE394" s="19"/>
      <c r="CF394" s="19"/>
      <c r="CG394" s="19"/>
      <c r="CH394" s="19"/>
      <c r="CI394" s="20"/>
      <c r="CJ394" s="20"/>
      <c r="CN394" s="18"/>
      <c r="CO394" s="19"/>
      <c r="CP394" s="19"/>
      <c r="CQ394" s="19"/>
      <c r="CR394" s="19"/>
      <c r="CS394" s="19"/>
      <c r="CT394" s="19"/>
      <c r="CU394" s="20"/>
      <c r="CV394" s="20"/>
      <c r="DA394" s="18">
        <f t="shared" si="76"/>
        <v>0</v>
      </c>
      <c r="DB394" s="19">
        <f t="shared" si="77"/>
        <v>0</v>
      </c>
      <c r="DC394" s="19">
        <f t="shared" si="78"/>
        <v>0</v>
      </c>
      <c r="DD394" s="19">
        <f t="shared" si="79"/>
        <v>0</v>
      </c>
      <c r="DE394" s="19">
        <f t="shared" si="80"/>
        <v>0</v>
      </c>
      <c r="DF394" s="19">
        <f t="shared" si="81"/>
        <v>0</v>
      </c>
      <c r="DG394" s="19">
        <f t="shared" si="82"/>
        <v>0</v>
      </c>
      <c r="DH394" s="20">
        <f t="shared" si="83"/>
        <v>0</v>
      </c>
      <c r="DI394" s="20">
        <f t="shared" si="84"/>
        <v>0</v>
      </c>
      <c r="DJ394" s="2"/>
    </row>
    <row r="395" spans="80:114" x14ac:dyDescent="0.3">
      <c r="CB395" s="18"/>
      <c r="CC395" s="19"/>
      <c r="CD395" s="19"/>
      <c r="CE395" s="19"/>
      <c r="CF395" s="19"/>
      <c r="CG395" s="19"/>
      <c r="CH395" s="19"/>
      <c r="CI395" s="20"/>
      <c r="CJ395" s="20"/>
      <c r="CN395" s="18"/>
      <c r="CO395" s="19"/>
      <c r="CP395" s="19"/>
      <c r="CQ395" s="19"/>
      <c r="CR395" s="19"/>
      <c r="CS395" s="19"/>
      <c r="CT395" s="19"/>
      <c r="CU395" s="20"/>
      <c r="CV395" s="20"/>
      <c r="DA395" s="18">
        <f t="shared" si="76"/>
        <v>0</v>
      </c>
      <c r="DB395" s="19">
        <f t="shared" si="77"/>
        <v>0</v>
      </c>
      <c r="DC395" s="19">
        <f t="shared" si="78"/>
        <v>0</v>
      </c>
      <c r="DD395" s="19">
        <f t="shared" si="79"/>
        <v>0</v>
      </c>
      <c r="DE395" s="19">
        <f t="shared" si="80"/>
        <v>0</v>
      </c>
      <c r="DF395" s="19">
        <f t="shared" si="81"/>
        <v>0</v>
      </c>
      <c r="DG395" s="19">
        <f t="shared" si="82"/>
        <v>0</v>
      </c>
      <c r="DH395" s="20">
        <f t="shared" si="83"/>
        <v>0</v>
      </c>
      <c r="DI395" s="20">
        <f t="shared" si="84"/>
        <v>0</v>
      </c>
      <c r="DJ395" s="2"/>
    </row>
    <row r="396" spans="80:114" x14ac:dyDescent="0.3">
      <c r="CB396" s="18"/>
      <c r="CC396" s="19"/>
      <c r="CD396" s="19"/>
      <c r="CE396" s="19"/>
      <c r="CF396" s="19"/>
      <c r="CG396" s="19"/>
      <c r="CH396" s="19"/>
      <c r="CI396" s="20"/>
      <c r="CJ396" s="20"/>
      <c r="CN396" s="18"/>
      <c r="CO396" s="19"/>
      <c r="CP396" s="19"/>
      <c r="CQ396" s="19"/>
      <c r="CR396" s="19"/>
      <c r="CS396" s="19"/>
      <c r="CT396" s="19"/>
      <c r="CU396" s="20"/>
      <c r="CV396" s="20"/>
      <c r="DA396" s="18">
        <f t="shared" si="76"/>
        <v>0</v>
      </c>
      <c r="DB396" s="19">
        <f t="shared" si="77"/>
        <v>0</v>
      </c>
      <c r="DC396" s="19">
        <f t="shared" si="78"/>
        <v>0</v>
      </c>
      <c r="DD396" s="19">
        <f t="shared" si="79"/>
        <v>0</v>
      </c>
      <c r="DE396" s="19">
        <f t="shared" si="80"/>
        <v>0</v>
      </c>
      <c r="DF396" s="19">
        <f t="shared" si="81"/>
        <v>0</v>
      </c>
      <c r="DG396" s="19">
        <f t="shared" si="82"/>
        <v>0</v>
      </c>
      <c r="DH396" s="20">
        <f t="shared" si="83"/>
        <v>0</v>
      </c>
      <c r="DI396" s="20">
        <f t="shared" si="84"/>
        <v>0</v>
      </c>
      <c r="DJ396" s="2"/>
    </row>
    <row r="397" spans="80:114" x14ac:dyDescent="0.3">
      <c r="CB397" s="18"/>
      <c r="CC397" s="19"/>
      <c r="CD397" s="19"/>
      <c r="CE397" s="19"/>
      <c r="CF397" s="19"/>
      <c r="CG397" s="19"/>
      <c r="CH397" s="19"/>
      <c r="CI397" s="20"/>
      <c r="CJ397" s="20"/>
      <c r="CN397" s="18"/>
      <c r="CO397" s="19"/>
      <c r="CP397" s="19"/>
      <c r="CQ397" s="19"/>
      <c r="CR397" s="19"/>
      <c r="CS397" s="19"/>
      <c r="CT397" s="19"/>
      <c r="CU397" s="20"/>
      <c r="CV397" s="20"/>
      <c r="DA397" s="18">
        <f t="shared" si="76"/>
        <v>0</v>
      </c>
      <c r="DB397" s="19">
        <f t="shared" si="77"/>
        <v>0</v>
      </c>
      <c r="DC397" s="19">
        <f t="shared" si="78"/>
        <v>0</v>
      </c>
      <c r="DD397" s="19">
        <f t="shared" si="79"/>
        <v>0</v>
      </c>
      <c r="DE397" s="19">
        <f t="shared" si="80"/>
        <v>0</v>
      </c>
      <c r="DF397" s="19">
        <f t="shared" si="81"/>
        <v>0</v>
      </c>
      <c r="DG397" s="19">
        <f t="shared" si="82"/>
        <v>0</v>
      </c>
      <c r="DH397" s="20">
        <f t="shared" si="83"/>
        <v>0</v>
      </c>
      <c r="DI397" s="20">
        <f t="shared" si="84"/>
        <v>0</v>
      </c>
      <c r="DJ397" s="2"/>
    </row>
    <row r="398" spans="80:114" x14ac:dyDescent="0.3">
      <c r="CB398" s="18"/>
      <c r="CC398" s="19"/>
      <c r="CD398" s="19"/>
      <c r="CE398" s="19"/>
      <c r="CF398" s="19"/>
      <c r="CG398" s="19"/>
      <c r="CH398" s="19"/>
      <c r="CI398" s="20"/>
      <c r="CJ398" s="20"/>
      <c r="CN398" s="18"/>
      <c r="CO398" s="19"/>
      <c r="CP398" s="19"/>
      <c r="CQ398" s="19"/>
      <c r="CR398" s="19"/>
      <c r="CS398" s="19"/>
      <c r="CT398" s="19"/>
      <c r="CU398" s="20"/>
      <c r="CV398" s="20"/>
      <c r="DA398" s="18">
        <f t="shared" si="76"/>
        <v>0</v>
      </c>
      <c r="DB398" s="19">
        <f t="shared" si="77"/>
        <v>0</v>
      </c>
      <c r="DC398" s="19">
        <f t="shared" si="78"/>
        <v>0</v>
      </c>
      <c r="DD398" s="19">
        <f t="shared" si="79"/>
        <v>0</v>
      </c>
      <c r="DE398" s="19">
        <f t="shared" si="80"/>
        <v>0</v>
      </c>
      <c r="DF398" s="19">
        <f t="shared" si="81"/>
        <v>0</v>
      </c>
      <c r="DG398" s="19">
        <f t="shared" si="82"/>
        <v>0</v>
      </c>
      <c r="DH398" s="20">
        <f t="shared" si="83"/>
        <v>0</v>
      </c>
      <c r="DI398" s="20">
        <f t="shared" si="84"/>
        <v>0</v>
      </c>
      <c r="DJ398" s="2"/>
    </row>
    <row r="399" spans="80:114" x14ac:dyDescent="0.3">
      <c r="CB399" s="18"/>
      <c r="CC399" s="19"/>
      <c r="CD399" s="19"/>
      <c r="CE399" s="19"/>
      <c r="CF399" s="19"/>
      <c r="CG399" s="19"/>
      <c r="CH399" s="19"/>
      <c r="CI399" s="20"/>
      <c r="CJ399" s="20"/>
      <c r="CN399" s="18"/>
      <c r="CO399" s="19"/>
      <c r="CP399" s="19"/>
      <c r="CQ399" s="19"/>
      <c r="CR399" s="19"/>
      <c r="CS399" s="19"/>
      <c r="CT399" s="19"/>
      <c r="CU399" s="20"/>
      <c r="CV399" s="20"/>
      <c r="DA399" s="18">
        <f t="shared" si="76"/>
        <v>0</v>
      </c>
      <c r="DB399" s="19">
        <f t="shared" si="77"/>
        <v>0</v>
      </c>
      <c r="DC399" s="19">
        <f t="shared" si="78"/>
        <v>0</v>
      </c>
      <c r="DD399" s="19">
        <f t="shared" si="79"/>
        <v>0</v>
      </c>
      <c r="DE399" s="19">
        <f t="shared" si="80"/>
        <v>0</v>
      </c>
      <c r="DF399" s="19">
        <f t="shared" si="81"/>
        <v>0</v>
      </c>
      <c r="DG399" s="19">
        <f t="shared" si="82"/>
        <v>0</v>
      </c>
      <c r="DH399" s="20">
        <f t="shared" si="83"/>
        <v>0</v>
      </c>
      <c r="DI399" s="20">
        <f t="shared" si="84"/>
        <v>0</v>
      </c>
      <c r="DJ399" s="2"/>
    </row>
    <row r="400" spans="80:114" x14ac:dyDescent="0.3">
      <c r="CB400" s="18"/>
      <c r="CC400" s="19"/>
      <c r="CD400" s="19"/>
      <c r="CE400" s="19"/>
      <c r="CF400" s="19"/>
      <c r="CG400" s="19"/>
      <c r="CH400" s="19"/>
      <c r="CI400" s="20"/>
      <c r="CJ400" s="20"/>
      <c r="CN400" s="18"/>
      <c r="CO400" s="19"/>
      <c r="CP400" s="19"/>
      <c r="CQ400" s="19"/>
      <c r="CR400" s="19"/>
      <c r="CS400" s="19"/>
      <c r="CT400" s="19"/>
      <c r="CU400" s="20"/>
      <c r="CV400" s="20"/>
      <c r="DA400" s="18">
        <f t="shared" si="76"/>
        <v>0</v>
      </c>
      <c r="DB400" s="19">
        <f t="shared" si="77"/>
        <v>0</v>
      </c>
      <c r="DC400" s="19">
        <f t="shared" si="78"/>
        <v>0</v>
      </c>
      <c r="DD400" s="19">
        <f t="shared" si="79"/>
        <v>0</v>
      </c>
      <c r="DE400" s="19">
        <f t="shared" si="80"/>
        <v>0</v>
      </c>
      <c r="DF400" s="19">
        <f t="shared" si="81"/>
        <v>0</v>
      </c>
      <c r="DG400" s="19">
        <f t="shared" si="82"/>
        <v>0</v>
      </c>
      <c r="DH400" s="20">
        <f t="shared" si="83"/>
        <v>0</v>
      </c>
      <c r="DI400" s="20">
        <f t="shared" si="84"/>
        <v>0</v>
      </c>
      <c r="DJ400" s="2"/>
    </row>
    <row r="401" spans="80:114" x14ac:dyDescent="0.3">
      <c r="CB401" s="18"/>
      <c r="CC401" s="19"/>
      <c r="CD401" s="19"/>
      <c r="CE401" s="19"/>
      <c r="CF401" s="19"/>
      <c r="CG401" s="19"/>
      <c r="CH401" s="19"/>
      <c r="CI401" s="20"/>
      <c r="CJ401" s="20"/>
      <c r="CN401" s="18"/>
      <c r="CO401" s="19"/>
      <c r="CP401" s="19"/>
      <c r="CQ401" s="19"/>
      <c r="CR401" s="19"/>
      <c r="CS401" s="19"/>
      <c r="CT401" s="19"/>
      <c r="CU401" s="20"/>
      <c r="CV401" s="20"/>
      <c r="DA401" s="18">
        <f t="shared" si="76"/>
        <v>0</v>
      </c>
      <c r="DB401" s="19">
        <f t="shared" si="77"/>
        <v>0</v>
      </c>
      <c r="DC401" s="19">
        <f t="shared" si="78"/>
        <v>0</v>
      </c>
      <c r="DD401" s="19">
        <f t="shared" si="79"/>
        <v>0</v>
      </c>
      <c r="DE401" s="19">
        <f t="shared" si="80"/>
        <v>0</v>
      </c>
      <c r="DF401" s="19">
        <f t="shared" si="81"/>
        <v>0</v>
      </c>
      <c r="DG401" s="19">
        <f t="shared" si="82"/>
        <v>0</v>
      </c>
      <c r="DH401" s="20">
        <f t="shared" si="83"/>
        <v>0</v>
      </c>
      <c r="DI401" s="20">
        <f t="shared" si="84"/>
        <v>0</v>
      </c>
      <c r="DJ401" s="2"/>
    </row>
    <row r="402" spans="80:114" x14ac:dyDescent="0.3">
      <c r="CB402" s="18"/>
      <c r="CC402" s="19"/>
      <c r="CD402" s="19"/>
      <c r="CE402" s="19"/>
      <c r="CF402" s="19"/>
      <c r="CG402" s="19"/>
      <c r="CH402" s="19"/>
      <c r="CI402" s="20"/>
      <c r="CJ402" s="20"/>
      <c r="CN402" s="18"/>
      <c r="CO402" s="19"/>
      <c r="CP402" s="19"/>
      <c r="CQ402" s="19"/>
      <c r="CR402" s="19"/>
      <c r="CS402" s="19"/>
      <c r="CT402" s="19"/>
      <c r="CU402" s="20"/>
      <c r="CV402" s="20"/>
      <c r="DA402" s="18">
        <f t="shared" si="76"/>
        <v>0</v>
      </c>
      <c r="DB402" s="19">
        <f t="shared" si="77"/>
        <v>0</v>
      </c>
      <c r="DC402" s="19">
        <f t="shared" si="78"/>
        <v>0</v>
      </c>
      <c r="DD402" s="19">
        <f t="shared" si="79"/>
        <v>0</v>
      </c>
      <c r="DE402" s="19">
        <f t="shared" si="80"/>
        <v>0</v>
      </c>
      <c r="DF402" s="19">
        <f t="shared" si="81"/>
        <v>0</v>
      </c>
      <c r="DG402" s="19">
        <f t="shared" si="82"/>
        <v>0</v>
      </c>
      <c r="DH402" s="20">
        <f t="shared" si="83"/>
        <v>0</v>
      </c>
      <c r="DI402" s="20">
        <f t="shared" si="84"/>
        <v>0</v>
      </c>
      <c r="DJ402" s="2"/>
    </row>
    <row r="403" spans="80:114" x14ac:dyDescent="0.3">
      <c r="CB403" s="18"/>
      <c r="CC403" s="19"/>
      <c r="CD403" s="19"/>
      <c r="CE403" s="19"/>
      <c r="CF403" s="19"/>
      <c r="CG403" s="19"/>
      <c r="CH403" s="19"/>
      <c r="CI403" s="20"/>
      <c r="CJ403" s="20"/>
      <c r="CN403" s="18"/>
      <c r="CO403" s="19"/>
      <c r="CP403" s="19"/>
      <c r="CQ403" s="19"/>
      <c r="CR403" s="19"/>
      <c r="CS403" s="19"/>
      <c r="CT403" s="19"/>
      <c r="CU403" s="20"/>
      <c r="CV403" s="20"/>
      <c r="DA403" s="18">
        <f t="shared" si="76"/>
        <v>0</v>
      </c>
      <c r="DB403" s="19">
        <f t="shared" si="77"/>
        <v>0</v>
      </c>
      <c r="DC403" s="19">
        <f t="shared" si="78"/>
        <v>0</v>
      </c>
      <c r="DD403" s="19">
        <f t="shared" si="79"/>
        <v>0</v>
      </c>
      <c r="DE403" s="19">
        <f t="shared" si="80"/>
        <v>0</v>
      </c>
      <c r="DF403" s="19">
        <f t="shared" si="81"/>
        <v>0</v>
      </c>
      <c r="DG403" s="19">
        <f t="shared" si="82"/>
        <v>0</v>
      </c>
      <c r="DH403" s="20">
        <f t="shared" si="83"/>
        <v>0</v>
      </c>
      <c r="DI403" s="20">
        <f t="shared" si="84"/>
        <v>0</v>
      </c>
      <c r="DJ403" s="2"/>
    </row>
    <row r="404" spans="80:114" x14ac:dyDescent="0.3">
      <c r="CB404" s="18"/>
      <c r="CC404" s="19"/>
      <c r="CD404" s="19"/>
      <c r="CE404" s="19"/>
      <c r="CF404" s="19"/>
      <c r="CG404" s="19"/>
      <c r="CH404" s="19"/>
      <c r="CI404" s="20"/>
      <c r="CJ404" s="20"/>
      <c r="CN404" s="18"/>
      <c r="CO404" s="19"/>
      <c r="CP404" s="19"/>
      <c r="CQ404" s="19"/>
      <c r="CR404" s="19"/>
      <c r="CS404" s="19"/>
      <c r="CT404" s="19"/>
      <c r="CU404" s="20"/>
      <c r="CV404" s="20"/>
      <c r="DA404" s="18">
        <f t="shared" si="76"/>
        <v>0</v>
      </c>
      <c r="DB404" s="19">
        <f t="shared" si="77"/>
        <v>0</v>
      </c>
      <c r="DC404" s="19">
        <f t="shared" si="78"/>
        <v>0</v>
      </c>
      <c r="DD404" s="19">
        <f t="shared" si="79"/>
        <v>0</v>
      </c>
      <c r="DE404" s="19">
        <f t="shared" si="80"/>
        <v>0</v>
      </c>
      <c r="DF404" s="19">
        <f t="shared" si="81"/>
        <v>0</v>
      </c>
      <c r="DG404" s="19">
        <f t="shared" si="82"/>
        <v>0</v>
      </c>
      <c r="DH404" s="20">
        <f t="shared" si="83"/>
        <v>0</v>
      </c>
      <c r="DI404" s="20">
        <f t="shared" si="84"/>
        <v>0</v>
      </c>
      <c r="DJ404" s="2"/>
    </row>
    <row r="405" spans="80:114" x14ac:dyDescent="0.3">
      <c r="CB405" s="18"/>
      <c r="CC405" s="19"/>
      <c r="CD405" s="19"/>
      <c r="CE405" s="19"/>
      <c r="CF405" s="19"/>
      <c r="CG405" s="19"/>
      <c r="CH405" s="19"/>
      <c r="CI405" s="20"/>
      <c r="CJ405" s="20"/>
      <c r="CN405" s="18"/>
      <c r="CO405" s="19"/>
      <c r="CP405" s="19"/>
      <c r="CQ405" s="19"/>
      <c r="CR405" s="19"/>
      <c r="CS405" s="19"/>
      <c r="CT405" s="19"/>
      <c r="CU405" s="20"/>
      <c r="CV405" s="20"/>
      <c r="DA405" s="18">
        <f t="shared" si="76"/>
        <v>0</v>
      </c>
      <c r="DB405" s="19">
        <f t="shared" si="77"/>
        <v>0</v>
      </c>
      <c r="DC405" s="19">
        <f t="shared" si="78"/>
        <v>0</v>
      </c>
      <c r="DD405" s="19">
        <f t="shared" si="79"/>
        <v>0</v>
      </c>
      <c r="DE405" s="19">
        <f t="shared" si="80"/>
        <v>0</v>
      </c>
      <c r="DF405" s="19">
        <f t="shared" si="81"/>
        <v>0</v>
      </c>
      <c r="DG405" s="19">
        <f t="shared" si="82"/>
        <v>0</v>
      </c>
      <c r="DH405" s="20">
        <f t="shared" si="83"/>
        <v>0</v>
      </c>
      <c r="DI405" s="20">
        <f t="shared" si="84"/>
        <v>0</v>
      </c>
      <c r="DJ405" s="2"/>
    </row>
    <row r="406" spans="80:114" x14ac:dyDescent="0.3">
      <c r="CB406" s="18"/>
      <c r="CC406" s="19"/>
      <c r="CD406" s="19"/>
      <c r="CE406" s="19"/>
      <c r="CF406" s="19"/>
      <c r="CG406" s="19"/>
      <c r="CH406" s="19"/>
      <c r="CI406" s="20"/>
      <c r="CJ406" s="20"/>
      <c r="CN406" s="18"/>
      <c r="CO406" s="19"/>
      <c r="CP406" s="19"/>
      <c r="CQ406" s="19"/>
      <c r="CR406" s="19"/>
      <c r="CS406" s="19"/>
      <c r="CT406" s="19"/>
      <c r="CU406" s="20"/>
      <c r="CV406" s="20"/>
      <c r="DA406" s="18">
        <f t="shared" si="76"/>
        <v>0</v>
      </c>
      <c r="DB406" s="19">
        <f t="shared" si="77"/>
        <v>0</v>
      </c>
      <c r="DC406" s="19">
        <f t="shared" si="78"/>
        <v>0</v>
      </c>
      <c r="DD406" s="19">
        <f t="shared" si="79"/>
        <v>0</v>
      </c>
      <c r="DE406" s="19">
        <f t="shared" si="80"/>
        <v>0</v>
      </c>
      <c r="DF406" s="19">
        <f t="shared" si="81"/>
        <v>0</v>
      </c>
      <c r="DG406" s="19">
        <f t="shared" si="82"/>
        <v>0</v>
      </c>
      <c r="DH406" s="20">
        <f t="shared" si="83"/>
        <v>0</v>
      </c>
      <c r="DI406" s="20">
        <f t="shared" si="84"/>
        <v>0</v>
      </c>
      <c r="DJ406" s="2"/>
    </row>
    <row r="407" spans="80:114" x14ac:dyDescent="0.3">
      <c r="CB407" s="18"/>
      <c r="CC407" s="19"/>
      <c r="CD407" s="19"/>
      <c r="CE407" s="19"/>
      <c r="CF407" s="19"/>
      <c r="CG407" s="19"/>
      <c r="CH407" s="19"/>
      <c r="CI407" s="20"/>
      <c r="CJ407" s="20"/>
      <c r="CN407" s="18"/>
      <c r="CO407" s="19"/>
      <c r="CP407" s="19"/>
      <c r="CQ407" s="19"/>
      <c r="CR407" s="19"/>
      <c r="CS407" s="19"/>
      <c r="CT407" s="19"/>
      <c r="CU407" s="20"/>
      <c r="CV407" s="20"/>
      <c r="DA407" s="18">
        <f t="shared" si="76"/>
        <v>0</v>
      </c>
      <c r="DB407" s="19">
        <f t="shared" si="77"/>
        <v>0</v>
      </c>
      <c r="DC407" s="19">
        <f t="shared" si="78"/>
        <v>0</v>
      </c>
      <c r="DD407" s="19">
        <f t="shared" si="79"/>
        <v>0</v>
      </c>
      <c r="DE407" s="19">
        <f t="shared" si="80"/>
        <v>0</v>
      </c>
      <c r="DF407" s="19">
        <f t="shared" si="81"/>
        <v>0</v>
      </c>
      <c r="DG407" s="19">
        <f t="shared" si="82"/>
        <v>0</v>
      </c>
      <c r="DH407" s="20">
        <f t="shared" si="83"/>
        <v>0</v>
      </c>
      <c r="DI407" s="20">
        <f t="shared" si="84"/>
        <v>0</v>
      </c>
      <c r="DJ407" s="2"/>
    </row>
    <row r="408" spans="80:114" x14ac:dyDescent="0.3">
      <c r="CB408" s="18"/>
      <c r="CC408" s="19"/>
      <c r="CD408" s="19"/>
      <c r="CE408" s="19"/>
      <c r="CF408" s="19"/>
      <c r="CG408" s="19"/>
      <c r="CH408" s="19"/>
      <c r="CI408" s="20"/>
      <c r="CJ408" s="20"/>
      <c r="CN408" s="18"/>
      <c r="CO408" s="19"/>
      <c r="CP408" s="19"/>
      <c r="CQ408" s="19"/>
      <c r="CR408" s="19"/>
      <c r="CS408" s="19"/>
      <c r="CT408" s="19"/>
      <c r="CU408" s="20"/>
      <c r="CV408" s="20"/>
      <c r="DA408" s="18">
        <f t="shared" si="76"/>
        <v>0</v>
      </c>
      <c r="DB408" s="19">
        <f t="shared" si="77"/>
        <v>0</v>
      </c>
      <c r="DC408" s="19">
        <f t="shared" si="78"/>
        <v>0</v>
      </c>
      <c r="DD408" s="19">
        <f t="shared" si="79"/>
        <v>0</v>
      </c>
      <c r="DE408" s="19">
        <f t="shared" si="80"/>
        <v>0</v>
      </c>
      <c r="DF408" s="19">
        <f t="shared" si="81"/>
        <v>0</v>
      </c>
      <c r="DG408" s="19">
        <f t="shared" si="82"/>
        <v>0</v>
      </c>
      <c r="DH408" s="20">
        <f t="shared" si="83"/>
        <v>0</v>
      </c>
      <c r="DI408" s="20">
        <f t="shared" si="84"/>
        <v>0</v>
      </c>
      <c r="DJ408" s="2"/>
    </row>
    <row r="409" spans="80:114" x14ac:dyDescent="0.3">
      <c r="CB409" s="18"/>
      <c r="CC409" s="19"/>
      <c r="CD409" s="19"/>
      <c r="CE409" s="19"/>
      <c r="CF409" s="19"/>
      <c r="CG409" s="19"/>
      <c r="CH409" s="19"/>
      <c r="CI409" s="20"/>
      <c r="CJ409" s="20"/>
      <c r="CN409" s="18"/>
      <c r="CO409" s="19"/>
      <c r="CP409" s="19"/>
      <c r="CQ409" s="19"/>
      <c r="CR409" s="19"/>
      <c r="CS409" s="19"/>
      <c r="CT409" s="19"/>
      <c r="CU409" s="20"/>
      <c r="CV409" s="20"/>
      <c r="DA409" s="18">
        <f t="shared" si="76"/>
        <v>0</v>
      </c>
      <c r="DB409" s="19">
        <f t="shared" si="77"/>
        <v>0</v>
      </c>
      <c r="DC409" s="19">
        <f t="shared" si="78"/>
        <v>0</v>
      </c>
      <c r="DD409" s="19">
        <f t="shared" si="79"/>
        <v>0</v>
      </c>
      <c r="DE409" s="19">
        <f t="shared" si="80"/>
        <v>0</v>
      </c>
      <c r="DF409" s="19">
        <f t="shared" si="81"/>
        <v>0</v>
      </c>
      <c r="DG409" s="19">
        <f t="shared" si="82"/>
        <v>0</v>
      </c>
      <c r="DH409" s="20">
        <f t="shared" si="83"/>
        <v>0</v>
      </c>
      <c r="DI409" s="20">
        <f t="shared" si="84"/>
        <v>0</v>
      </c>
      <c r="DJ409" s="2"/>
    </row>
    <row r="410" spans="80:114" x14ac:dyDescent="0.3">
      <c r="CB410" s="18"/>
      <c r="CC410" s="19"/>
      <c r="CD410" s="19"/>
      <c r="CE410" s="19"/>
      <c r="CF410" s="19"/>
      <c r="CG410" s="19"/>
      <c r="CH410" s="19"/>
      <c r="CI410" s="20"/>
      <c r="CJ410" s="20"/>
      <c r="CN410" s="18"/>
      <c r="CO410" s="19"/>
      <c r="CP410" s="19"/>
      <c r="CQ410" s="19"/>
      <c r="CR410" s="19"/>
      <c r="CS410" s="19"/>
      <c r="CT410" s="19"/>
      <c r="CU410" s="20"/>
      <c r="CV410" s="20"/>
      <c r="DA410" s="18">
        <f t="shared" si="76"/>
        <v>0</v>
      </c>
      <c r="DB410" s="19">
        <f t="shared" si="77"/>
        <v>0</v>
      </c>
      <c r="DC410" s="19">
        <f t="shared" si="78"/>
        <v>0</v>
      </c>
      <c r="DD410" s="19">
        <f t="shared" si="79"/>
        <v>0</v>
      </c>
      <c r="DE410" s="19">
        <f t="shared" si="80"/>
        <v>0</v>
      </c>
      <c r="DF410" s="19">
        <f t="shared" si="81"/>
        <v>0</v>
      </c>
      <c r="DG410" s="19">
        <f t="shared" si="82"/>
        <v>0</v>
      </c>
      <c r="DH410" s="20">
        <f t="shared" si="83"/>
        <v>0</v>
      </c>
      <c r="DI410" s="20">
        <f t="shared" si="84"/>
        <v>0</v>
      </c>
      <c r="DJ410" s="2"/>
    </row>
    <row r="411" spans="80:114" x14ac:dyDescent="0.3">
      <c r="CB411" s="18"/>
      <c r="CC411" s="19"/>
      <c r="CD411" s="19"/>
      <c r="CE411" s="19"/>
      <c r="CF411" s="19"/>
      <c r="CG411" s="19"/>
      <c r="CH411" s="19"/>
      <c r="CI411" s="20"/>
      <c r="CJ411" s="20"/>
      <c r="CN411" s="18"/>
      <c r="CO411" s="19"/>
      <c r="CP411" s="19"/>
      <c r="CQ411" s="19"/>
      <c r="CR411" s="19"/>
      <c r="CS411" s="19"/>
      <c r="CT411" s="19"/>
      <c r="CU411" s="20"/>
      <c r="CV411" s="20"/>
      <c r="DA411" s="18">
        <f t="shared" si="76"/>
        <v>0</v>
      </c>
      <c r="DB411" s="19">
        <f t="shared" si="77"/>
        <v>0</v>
      </c>
      <c r="DC411" s="19">
        <f t="shared" si="78"/>
        <v>0</v>
      </c>
      <c r="DD411" s="19">
        <f t="shared" si="79"/>
        <v>0</v>
      </c>
      <c r="DE411" s="19">
        <f t="shared" si="80"/>
        <v>0</v>
      </c>
      <c r="DF411" s="19">
        <f t="shared" si="81"/>
        <v>0</v>
      </c>
      <c r="DG411" s="19">
        <f t="shared" si="82"/>
        <v>0</v>
      </c>
      <c r="DH411" s="20">
        <f t="shared" si="83"/>
        <v>0</v>
      </c>
      <c r="DI411" s="20">
        <f t="shared" si="84"/>
        <v>0</v>
      </c>
      <c r="DJ411" s="2"/>
    </row>
    <row r="412" spans="80:114" x14ac:dyDescent="0.3">
      <c r="CB412" s="18"/>
      <c r="CC412" s="19"/>
      <c r="CD412" s="19"/>
      <c r="CE412" s="19"/>
      <c r="CF412" s="19"/>
      <c r="CG412" s="19"/>
      <c r="CH412" s="19"/>
      <c r="CI412" s="20"/>
      <c r="CJ412" s="20"/>
      <c r="CN412" s="18"/>
      <c r="CO412" s="19"/>
      <c r="CP412" s="19"/>
      <c r="CQ412" s="19"/>
      <c r="CR412" s="19"/>
      <c r="CS412" s="19"/>
      <c r="CT412" s="19"/>
      <c r="CU412" s="20"/>
      <c r="CV412" s="20"/>
      <c r="DA412" s="18">
        <f t="shared" si="76"/>
        <v>0</v>
      </c>
      <c r="DB412" s="19">
        <f t="shared" si="77"/>
        <v>0</v>
      </c>
      <c r="DC412" s="19">
        <f t="shared" si="78"/>
        <v>0</v>
      </c>
      <c r="DD412" s="19">
        <f t="shared" si="79"/>
        <v>0</v>
      </c>
      <c r="DE412" s="19">
        <f t="shared" si="80"/>
        <v>0</v>
      </c>
      <c r="DF412" s="19">
        <f t="shared" si="81"/>
        <v>0</v>
      </c>
      <c r="DG412" s="19">
        <f t="shared" si="82"/>
        <v>0</v>
      </c>
      <c r="DH412" s="20">
        <f t="shared" si="83"/>
        <v>0</v>
      </c>
      <c r="DI412" s="20">
        <f t="shared" si="84"/>
        <v>0</v>
      </c>
      <c r="DJ412" s="2"/>
    </row>
    <row r="413" spans="80:114" x14ac:dyDescent="0.3">
      <c r="CB413" s="18"/>
      <c r="CC413" s="19"/>
      <c r="CD413" s="19"/>
      <c r="CE413" s="19"/>
      <c r="CF413" s="19"/>
      <c r="CG413" s="19"/>
      <c r="CH413" s="19"/>
      <c r="CI413" s="20"/>
      <c r="CJ413" s="20"/>
      <c r="CN413" s="18"/>
      <c r="CO413" s="19"/>
      <c r="CP413" s="19"/>
      <c r="CQ413" s="19"/>
      <c r="CR413" s="19"/>
      <c r="CS413" s="19"/>
      <c r="CT413" s="19"/>
      <c r="CU413" s="20"/>
      <c r="CV413" s="20"/>
      <c r="DA413" s="18">
        <f t="shared" si="76"/>
        <v>0</v>
      </c>
      <c r="DB413" s="19">
        <f t="shared" si="77"/>
        <v>0</v>
      </c>
      <c r="DC413" s="19">
        <f t="shared" si="78"/>
        <v>0</v>
      </c>
      <c r="DD413" s="19">
        <f t="shared" si="79"/>
        <v>0</v>
      </c>
      <c r="DE413" s="19">
        <f t="shared" si="80"/>
        <v>0</v>
      </c>
      <c r="DF413" s="19">
        <f t="shared" si="81"/>
        <v>0</v>
      </c>
      <c r="DG413" s="19">
        <f t="shared" si="82"/>
        <v>0</v>
      </c>
      <c r="DH413" s="20">
        <f t="shared" si="83"/>
        <v>0</v>
      </c>
      <c r="DI413" s="20">
        <f t="shared" si="84"/>
        <v>0</v>
      </c>
      <c r="DJ413" s="2"/>
    </row>
    <row r="414" spans="80:114" x14ac:dyDescent="0.3">
      <c r="CB414" s="18"/>
      <c r="CC414" s="19"/>
      <c r="CD414" s="19"/>
      <c r="CE414" s="19"/>
      <c r="CF414" s="19"/>
      <c r="CG414" s="19"/>
      <c r="CH414" s="19"/>
      <c r="CI414" s="20"/>
      <c r="CJ414" s="20"/>
      <c r="CN414" s="18"/>
      <c r="CO414" s="19"/>
      <c r="CP414" s="19"/>
      <c r="CQ414" s="19"/>
      <c r="CR414" s="19"/>
      <c r="CS414" s="19"/>
      <c r="CT414" s="19"/>
      <c r="CU414" s="20"/>
      <c r="CV414" s="20"/>
      <c r="DA414" s="18">
        <f t="shared" si="76"/>
        <v>0</v>
      </c>
      <c r="DB414" s="19">
        <f t="shared" si="77"/>
        <v>0</v>
      </c>
      <c r="DC414" s="19">
        <f t="shared" si="78"/>
        <v>0</v>
      </c>
      <c r="DD414" s="19">
        <f t="shared" si="79"/>
        <v>0</v>
      </c>
      <c r="DE414" s="19">
        <f t="shared" si="80"/>
        <v>0</v>
      </c>
      <c r="DF414" s="19">
        <f t="shared" si="81"/>
        <v>0</v>
      </c>
      <c r="DG414" s="19">
        <f t="shared" si="82"/>
        <v>0</v>
      </c>
      <c r="DH414" s="20">
        <f t="shared" si="83"/>
        <v>0</v>
      </c>
      <c r="DI414" s="20">
        <f t="shared" si="84"/>
        <v>0</v>
      </c>
      <c r="DJ414" s="2"/>
    </row>
    <row r="415" spans="80:114" x14ac:dyDescent="0.3">
      <c r="CB415" s="18"/>
      <c r="CC415" s="19"/>
      <c r="CD415" s="19"/>
      <c r="CE415" s="19"/>
      <c r="CF415" s="19"/>
      <c r="CG415" s="19"/>
      <c r="CH415" s="19"/>
      <c r="CI415" s="20"/>
      <c r="CJ415" s="20"/>
      <c r="CN415" s="18"/>
      <c r="CO415" s="19"/>
      <c r="CP415" s="19"/>
      <c r="CQ415" s="19"/>
      <c r="CR415" s="19"/>
      <c r="CS415" s="19"/>
      <c r="CT415" s="19"/>
      <c r="CU415" s="20"/>
      <c r="CV415" s="20"/>
      <c r="DA415" s="18">
        <f t="shared" si="76"/>
        <v>0</v>
      </c>
      <c r="DB415" s="19">
        <f t="shared" si="77"/>
        <v>0</v>
      </c>
      <c r="DC415" s="19">
        <f t="shared" si="78"/>
        <v>0</v>
      </c>
      <c r="DD415" s="19">
        <f t="shared" si="79"/>
        <v>0</v>
      </c>
      <c r="DE415" s="19">
        <f t="shared" si="80"/>
        <v>0</v>
      </c>
      <c r="DF415" s="19">
        <f t="shared" si="81"/>
        <v>0</v>
      </c>
      <c r="DG415" s="19">
        <f t="shared" si="82"/>
        <v>0</v>
      </c>
      <c r="DH415" s="20">
        <f t="shared" si="83"/>
        <v>0</v>
      </c>
      <c r="DI415" s="20">
        <f t="shared" si="84"/>
        <v>0</v>
      </c>
      <c r="DJ415" s="2"/>
    </row>
    <row r="416" spans="80:114" x14ac:dyDescent="0.3">
      <c r="CB416" s="18"/>
      <c r="CC416" s="19"/>
      <c r="CD416" s="19"/>
      <c r="CE416" s="19"/>
      <c r="CF416" s="19"/>
      <c r="CG416" s="19"/>
      <c r="CH416" s="19"/>
      <c r="CI416" s="20"/>
      <c r="CJ416" s="20"/>
      <c r="CN416" s="18"/>
      <c r="CO416" s="19"/>
      <c r="CP416" s="19"/>
      <c r="CQ416" s="19"/>
      <c r="CR416" s="19"/>
      <c r="CS416" s="19"/>
      <c r="CT416" s="19"/>
      <c r="CU416" s="20"/>
      <c r="CV416" s="20"/>
      <c r="DA416" s="18">
        <f t="shared" si="76"/>
        <v>0</v>
      </c>
      <c r="DB416" s="19">
        <f t="shared" si="77"/>
        <v>0</v>
      </c>
      <c r="DC416" s="19">
        <f t="shared" si="78"/>
        <v>0</v>
      </c>
      <c r="DD416" s="19">
        <f t="shared" si="79"/>
        <v>0</v>
      </c>
      <c r="DE416" s="19">
        <f t="shared" si="80"/>
        <v>0</v>
      </c>
      <c r="DF416" s="19">
        <f t="shared" si="81"/>
        <v>0</v>
      </c>
      <c r="DG416" s="19">
        <f t="shared" si="82"/>
        <v>0</v>
      </c>
      <c r="DH416" s="20">
        <f t="shared" si="83"/>
        <v>0</v>
      </c>
      <c r="DI416" s="20">
        <f t="shared" si="84"/>
        <v>0</v>
      </c>
      <c r="DJ416" s="2"/>
    </row>
    <row r="417" spans="80:114" x14ac:dyDescent="0.3">
      <c r="CB417" s="18"/>
      <c r="CC417" s="19"/>
      <c r="CD417" s="19"/>
      <c r="CE417" s="19"/>
      <c r="CF417" s="19"/>
      <c r="CG417" s="19"/>
      <c r="CH417" s="19"/>
      <c r="CI417" s="20"/>
      <c r="CJ417" s="20"/>
      <c r="CN417" s="18"/>
      <c r="CO417" s="19"/>
      <c r="CP417" s="19"/>
      <c r="CQ417" s="19"/>
      <c r="CR417" s="19"/>
      <c r="CS417" s="19"/>
      <c r="CT417" s="19"/>
      <c r="CU417" s="20"/>
      <c r="CV417" s="20"/>
      <c r="DA417" s="18">
        <f t="shared" si="76"/>
        <v>0</v>
      </c>
      <c r="DB417" s="19">
        <f t="shared" si="77"/>
        <v>0</v>
      </c>
      <c r="DC417" s="19">
        <f t="shared" si="78"/>
        <v>0</v>
      </c>
      <c r="DD417" s="19">
        <f t="shared" si="79"/>
        <v>0</v>
      </c>
      <c r="DE417" s="19">
        <f t="shared" si="80"/>
        <v>0</v>
      </c>
      <c r="DF417" s="19">
        <f t="shared" si="81"/>
        <v>0</v>
      </c>
      <c r="DG417" s="19">
        <f t="shared" si="82"/>
        <v>0</v>
      </c>
      <c r="DH417" s="20">
        <f t="shared" si="83"/>
        <v>0</v>
      </c>
      <c r="DI417" s="20">
        <f t="shared" si="84"/>
        <v>0</v>
      </c>
      <c r="DJ417" s="2"/>
    </row>
    <row r="418" spans="80:114" x14ac:dyDescent="0.3">
      <c r="CB418" s="18"/>
      <c r="CC418" s="19"/>
      <c r="CD418" s="19"/>
      <c r="CE418" s="19"/>
      <c r="CF418" s="19"/>
      <c r="CG418" s="19"/>
      <c r="CH418" s="19"/>
      <c r="CI418" s="20"/>
      <c r="CJ418" s="20"/>
      <c r="CN418" s="18"/>
      <c r="CO418" s="19"/>
      <c r="CP418" s="19"/>
      <c r="CQ418" s="19"/>
      <c r="CR418" s="19"/>
      <c r="CS418" s="19"/>
      <c r="CT418" s="19"/>
      <c r="CU418" s="20"/>
      <c r="CV418" s="20"/>
      <c r="DA418" s="18">
        <f t="shared" si="76"/>
        <v>0</v>
      </c>
      <c r="DB418" s="19">
        <f t="shared" si="77"/>
        <v>0</v>
      </c>
      <c r="DC418" s="19">
        <f t="shared" si="78"/>
        <v>0</v>
      </c>
      <c r="DD418" s="19">
        <f t="shared" si="79"/>
        <v>0</v>
      </c>
      <c r="DE418" s="19">
        <f t="shared" si="80"/>
        <v>0</v>
      </c>
      <c r="DF418" s="19">
        <f t="shared" si="81"/>
        <v>0</v>
      </c>
      <c r="DG418" s="19">
        <f t="shared" si="82"/>
        <v>0</v>
      </c>
      <c r="DH418" s="20">
        <f t="shared" si="83"/>
        <v>0</v>
      </c>
      <c r="DI418" s="20">
        <f t="shared" si="84"/>
        <v>0</v>
      </c>
      <c r="DJ418" s="2"/>
    </row>
    <row r="419" spans="80:114" x14ac:dyDescent="0.3">
      <c r="CB419" s="18"/>
      <c r="CC419" s="19"/>
      <c r="CD419" s="19"/>
      <c r="CE419" s="19"/>
      <c r="CF419" s="19"/>
      <c r="CG419" s="19"/>
      <c r="CH419" s="19"/>
      <c r="CI419" s="20"/>
      <c r="CJ419" s="20"/>
      <c r="CN419" s="18"/>
      <c r="CO419" s="19"/>
      <c r="CP419" s="19"/>
      <c r="CQ419" s="19"/>
      <c r="CR419" s="19"/>
      <c r="CS419" s="19"/>
      <c r="CT419" s="19"/>
      <c r="CU419" s="20"/>
      <c r="CV419" s="20"/>
      <c r="DA419" s="18">
        <f t="shared" si="76"/>
        <v>0</v>
      </c>
      <c r="DB419" s="19">
        <f t="shared" si="77"/>
        <v>0</v>
      </c>
      <c r="DC419" s="19">
        <f t="shared" si="78"/>
        <v>0</v>
      </c>
      <c r="DD419" s="19">
        <f t="shared" si="79"/>
        <v>0</v>
      </c>
      <c r="DE419" s="19">
        <f t="shared" si="80"/>
        <v>0</v>
      </c>
      <c r="DF419" s="19">
        <f t="shared" si="81"/>
        <v>0</v>
      </c>
      <c r="DG419" s="19">
        <f t="shared" si="82"/>
        <v>0</v>
      </c>
      <c r="DH419" s="20">
        <f t="shared" si="83"/>
        <v>0</v>
      </c>
      <c r="DI419" s="20">
        <f t="shared" si="84"/>
        <v>0</v>
      </c>
      <c r="DJ419" s="2"/>
    </row>
    <row r="420" spans="80:114" x14ac:dyDescent="0.3">
      <c r="CB420" s="18"/>
      <c r="CC420" s="19"/>
      <c r="CD420" s="19"/>
      <c r="CE420" s="19"/>
      <c r="CF420" s="19"/>
      <c r="CG420" s="19"/>
      <c r="CH420" s="19"/>
      <c r="CI420" s="20"/>
      <c r="CJ420" s="20"/>
      <c r="CN420" s="18"/>
      <c r="CO420" s="19"/>
      <c r="CP420" s="19"/>
      <c r="CQ420" s="19"/>
      <c r="CR420" s="19"/>
      <c r="CS420" s="19"/>
      <c r="CT420" s="19"/>
      <c r="CU420" s="20"/>
      <c r="CV420" s="20"/>
      <c r="DA420" s="18">
        <f t="shared" si="76"/>
        <v>0</v>
      </c>
      <c r="DB420" s="19">
        <f t="shared" si="77"/>
        <v>0</v>
      </c>
      <c r="DC420" s="19">
        <f t="shared" si="78"/>
        <v>0</v>
      </c>
      <c r="DD420" s="19">
        <f t="shared" si="79"/>
        <v>0</v>
      </c>
      <c r="DE420" s="19">
        <f t="shared" si="80"/>
        <v>0</v>
      </c>
      <c r="DF420" s="19">
        <f t="shared" si="81"/>
        <v>0</v>
      </c>
      <c r="DG420" s="19">
        <f t="shared" si="82"/>
        <v>0</v>
      </c>
      <c r="DH420" s="20">
        <f t="shared" si="83"/>
        <v>0</v>
      </c>
      <c r="DI420" s="20">
        <f t="shared" si="84"/>
        <v>0</v>
      </c>
      <c r="DJ420" s="2"/>
    </row>
    <row r="421" spans="80:114" x14ac:dyDescent="0.3">
      <c r="CB421" s="18"/>
      <c r="CC421" s="19"/>
      <c r="CD421" s="19"/>
      <c r="CE421" s="19"/>
      <c r="CF421" s="19"/>
      <c r="CG421" s="19"/>
      <c r="CH421" s="19"/>
      <c r="CI421" s="20"/>
      <c r="CJ421" s="20"/>
      <c r="CN421" s="18"/>
      <c r="CO421" s="19"/>
      <c r="CP421" s="19"/>
      <c r="CQ421" s="19"/>
      <c r="CR421" s="19"/>
      <c r="CS421" s="19"/>
      <c r="CT421" s="19"/>
      <c r="CU421" s="20"/>
      <c r="CV421" s="20"/>
      <c r="DA421" s="18">
        <f t="shared" si="76"/>
        <v>0</v>
      </c>
      <c r="DB421" s="19">
        <f t="shared" si="77"/>
        <v>0</v>
      </c>
      <c r="DC421" s="19">
        <f t="shared" si="78"/>
        <v>0</v>
      </c>
      <c r="DD421" s="19">
        <f t="shared" si="79"/>
        <v>0</v>
      </c>
      <c r="DE421" s="19">
        <f t="shared" si="80"/>
        <v>0</v>
      </c>
      <c r="DF421" s="19">
        <f t="shared" si="81"/>
        <v>0</v>
      </c>
      <c r="DG421" s="19">
        <f t="shared" si="82"/>
        <v>0</v>
      </c>
      <c r="DH421" s="20">
        <f t="shared" si="83"/>
        <v>0</v>
      </c>
      <c r="DI421" s="20">
        <f t="shared" si="84"/>
        <v>0</v>
      </c>
      <c r="DJ421" s="2"/>
    </row>
    <row r="422" spans="80:114" x14ac:dyDescent="0.3">
      <c r="CB422" s="18"/>
      <c r="CC422" s="19"/>
      <c r="CD422" s="19"/>
      <c r="CE422" s="19"/>
      <c r="CF422" s="19"/>
      <c r="CG422" s="19"/>
      <c r="CH422" s="19"/>
      <c r="CI422" s="20"/>
      <c r="CJ422" s="20"/>
      <c r="CN422" s="18"/>
      <c r="CO422" s="19"/>
      <c r="CP422" s="19"/>
      <c r="CQ422" s="19"/>
      <c r="CR422" s="19"/>
      <c r="CS422" s="19"/>
      <c r="CT422" s="19"/>
      <c r="CU422" s="20"/>
      <c r="CV422" s="20"/>
      <c r="DA422" s="18">
        <f t="shared" si="76"/>
        <v>0</v>
      </c>
      <c r="DB422" s="19">
        <f t="shared" si="77"/>
        <v>0</v>
      </c>
      <c r="DC422" s="19">
        <f t="shared" si="78"/>
        <v>0</v>
      </c>
      <c r="DD422" s="19">
        <f t="shared" si="79"/>
        <v>0</v>
      </c>
      <c r="DE422" s="19">
        <f t="shared" si="80"/>
        <v>0</v>
      </c>
      <c r="DF422" s="19">
        <f t="shared" si="81"/>
        <v>0</v>
      </c>
      <c r="DG422" s="19">
        <f t="shared" si="82"/>
        <v>0</v>
      </c>
      <c r="DH422" s="20">
        <f t="shared" si="83"/>
        <v>0</v>
      </c>
      <c r="DI422" s="20">
        <f t="shared" si="84"/>
        <v>0</v>
      </c>
      <c r="DJ422" s="2"/>
    </row>
    <row r="423" spans="80:114" x14ac:dyDescent="0.3">
      <c r="CB423" s="18"/>
      <c r="CC423" s="19"/>
      <c r="CD423" s="19"/>
      <c r="CE423" s="19"/>
      <c r="CF423" s="19"/>
      <c r="CG423" s="19"/>
      <c r="CH423" s="19"/>
      <c r="CI423" s="20"/>
      <c r="CJ423" s="20"/>
      <c r="CN423" s="18"/>
      <c r="CO423" s="19"/>
      <c r="CP423" s="19"/>
      <c r="CQ423" s="19"/>
      <c r="CR423" s="19"/>
      <c r="CS423" s="19"/>
      <c r="CT423" s="19"/>
      <c r="CU423" s="20"/>
      <c r="CV423" s="20"/>
      <c r="DA423" s="18">
        <f t="shared" si="76"/>
        <v>0</v>
      </c>
      <c r="DB423" s="19">
        <f t="shared" si="77"/>
        <v>0</v>
      </c>
      <c r="DC423" s="19">
        <f t="shared" si="78"/>
        <v>0</v>
      </c>
      <c r="DD423" s="19">
        <f t="shared" si="79"/>
        <v>0</v>
      </c>
      <c r="DE423" s="19">
        <f t="shared" si="80"/>
        <v>0</v>
      </c>
      <c r="DF423" s="19">
        <f t="shared" si="81"/>
        <v>0</v>
      </c>
      <c r="DG423" s="19">
        <f t="shared" si="82"/>
        <v>0</v>
      </c>
      <c r="DH423" s="20">
        <f t="shared" si="83"/>
        <v>0</v>
      </c>
      <c r="DI423" s="20">
        <f t="shared" si="84"/>
        <v>0</v>
      </c>
      <c r="DJ423" s="2"/>
    </row>
    <row r="424" spans="80:114" x14ac:dyDescent="0.3">
      <c r="CB424" s="18"/>
      <c r="CC424" s="19"/>
      <c r="CD424" s="19"/>
      <c r="CE424" s="19"/>
      <c r="CF424" s="19"/>
      <c r="CG424" s="19"/>
      <c r="CH424" s="19"/>
      <c r="CI424" s="20"/>
      <c r="CJ424" s="20"/>
      <c r="CN424" s="18"/>
      <c r="CO424" s="19"/>
      <c r="CP424" s="19"/>
      <c r="CQ424" s="19"/>
      <c r="CR424" s="19"/>
      <c r="CS424" s="19"/>
      <c r="CT424" s="19"/>
      <c r="CU424" s="20"/>
      <c r="CV424" s="20"/>
      <c r="DA424" s="18">
        <f t="shared" si="76"/>
        <v>0</v>
      </c>
      <c r="DB424" s="19">
        <f t="shared" si="77"/>
        <v>0</v>
      </c>
      <c r="DC424" s="19">
        <f t="shared" si="78"/>
        <v>0</v>
      </c>
      <c r="DD424" s="19">
        <f t="shared" si="79"/>
        <v>0</v>
      </c>
      <c r="DE424" s="19">
        <f t="shared" si="80"/>
        <v>0</v>
      </c>
      <c r="DF424" s="19">
        <f t="shared" si="81"/>
        <v>0</v>
      </c>
      <c r="DG424" s="19">
        <f t="shared" si="82"/>
        <v>0</v>
      </c>
      <c r="DH424" s="20">
        <f t="shared" si="83"/>
        <v>0</v>
      </c>
      <c r="DI424" s="20">
        <f t="shared" si="84"/>
        <v>0</v>
      </c>
      <c r="DJ424" s="2"/>
    </row>
    <row r="425" spans="80:114" x14ac:dyDescent="0.3">
      <c r="CB425" s="18"/>
      <c r="CC425" s="19"/>
      <c r="CD425" s="19"/>
      <c r="CE425" s="19"/>
      <c r="CF425" s="19"/>
      <c r="CG425" s="19"/>
      <c r="CH425" s="19"/>
      <c r="CI425" s="20"/>
      <c r="CJ425" s="20"/>
      <c r="CN425" s="18"/>
      <c r="CO425" s="19"/>
      <c r="CP425" s="19"/>
      <c r="CQ425" s="19"/>
      <c r="CR425" s="19"/>
      <c r="CS425" s="19"/>
      <c r="CT425" s="19"/>
      <c r="CU425" s="20"/>
      <c r="CV425" s="20"/>
      <c r="DA425" s="18">
        <f t="shared" si="76"/>
        <v>0</v>
      </c>
      <c r="DB425" s="19">
        <f t="shared" si="77"/>
        <v>0</v>
      </c>
      <c r="DC425" s="19">
        <f t="shared" si="78"/>
        <v>0</v>
      </c>
      <c r="DD425" s="19">
        <f t="shared" si="79"/>
        <v>0</v>
      </c>
      <c r="DE425" s="19">
        <f t="shared" si="80"/>
        <v>0</v>
      </c>
      <c r="DF425" s="19">
        <f t="shared" si="81"/>
        <v>0</v>
      </c>
      <c r="DG425" s="19">
        <f t="shared" si="82"/>
        <v>0</v>
      </c>
      <c r="DH425" s="20">
        <f t="shared" si="83"/>
        <v>0</v>
      </c>
      <c r="DI425" s="20">
        <f t="shared" si="84"/>
        <v>0</v>
      </c>
      <c r="DJ425" s="2"/>
    </row>
    <row r="426" spans="80:114" x14ac:dyDescent="0.3">
      <c r="CB426" s="18"/>
      <c r="CC426" s="19"/>
      <c r="CD426" s="19"/>
      <c r="CE426" s="19"/>
      <c r="CF426" s="19"/>
      <c r="CG426" s="19"/>
      <c r="CH426" s="19"/>
      <c r="CI426" s="20"/>
      <c r="CJ426" s="20"/>
      <c r="CN426" s="18"/>
      <c r="CO426" s="19"/>
      <c r="CP426" s="19"/>
      <c r="CQ426" s="19"/>
      <c r="CR426" s="19"/>
      <c r="CS426" s="19"/>
      <c r="CT426" s="19"/>
      <c r="CU426" s="20"/>
      <c r="CV426" s="20"/>
      <c r="DA426" s="18">
        <f t="shared" si="76"/>
        <v>0</v>
      </c>
      <c r="DB426" s="19">
        <f t="shared" si="77"/>
        <v>0</v>
      </c>
      <c r="DC426" s="19">
        <f t="shared" si="78"/>
        <v>0</v>
      </c>
      <c r="DD426" s="19">
        <f t="shared" si="79"/>
        <v>0</v>
      </c>
      <c r="DE426" s="19">
        <f t="shared" si="80"/>
        <v>0</v>
      </c>
      <c r="DF426" s="19">
        <f t="shared" si="81"/>
        <v>0</v>
      </c>
      <c r="DG426" s="19">
        <f t="shared" si="82"/>
        <v>0</v>
      </c>
      <c r="DH426" s="20">
        <f t="shared" si="83"/>
        <v>0</v>
      </c>
      <c r="DI426" s="20">
        <f t="shared" si="84"/>
        <v>0</v>
      </c>
      <c r="DJ426" s="2"/>
    </row>
    <row r="427" spans="80:114" x14ac:dyDescent="0.3">
      <c r="CB427" s="18"/>
      <c r="CC427" s="19"/>
      <c r="CD427" s="19"/>
      <c r="CE427" s="19"/>
      <c r="CF427" s="19"/>
      <c r="CG427" s="19"/>
      <c r="CH427" s="19"/>
      <c r="CI427" s="20"/>
      <c r="CJ427" s="20"/>
      <c r="CN427" s="18"/>
      <c r="CO427" s="19"/>
      <c r="CP427" s="19"/>
      <c r="CQ427" s="19"/>
      <c r="CR427" s="19"/>
      <c r="CS427" s="19"/>
      <c r="CT427" s="19"/>
      <c r="CU427" s="20"/>
      <c r="CV427" s="20"/>
      <c r="DA427" s="18">
        <f t="shared" si="76"/>
        <v>0</v>
      </c>
      <c r="DB427" s="19">
        <f t="shared" si="77"/>
        <v>0</v>
      </c>
      <c r="DC427" s="19">
        <f t="shared" si="78"/>
        <v>0</v>
      </c>
      <c r="DD427" s="19">
        <f t="shared" si="79"/>
        <v>0</v>
      </c>
      <c r="DE427" s="19">
        <f t="shared" si="80"/>
        <v>0</v>
      </c>
      <c r="DF427" s="19">
        <f t="shared" si="81"/>
        <v>0</v>
      </c>
      <c r="DG427" s="19">
        <f t="shared" si="82"/>
        <v>0</v>
      </c>
      <c r="DH427" s="20">
        <f t="shared" si="83"/>
        <v>0</v>
      </c>
      <c r="DI427" s="20">
        <f t="shared" si="84"/>
        <v>0</v>
      </c>
      <c r="DJ427" s="2"/>
    </row>
    <row r="428" spans="80:114" x14ac:dyDescent="0.3">
      <c r="CB428" s="18"/>
      <c r="CC428" s="19"/>
      <c r="CD428" s="19"/>
      <c r="CE428" s="19"/>
      <c r="CF428" s="19"/>
      <c r="CG428" s="19"/>
      <c r="CH428" s="19"/>
      <c r="CI428" s="20"/>
      <c r="CJ428" s="20"/>
      <c r="CN428" s="18"/>
      <c r="CO428" s="19"/>
      <c r="CP428" s="19"/>
      <c r="CQ428" s="19"/>
      <c r="CR428" s="19"/>
      <c r="CS428" s="19"/>
      <c r="CT428" s="19"/>
      <c r="CU428" s="20"/>
      <c r="CV428" s="20"/>
      <c r="DA428" s="18">
        <f t="shared" si="76"/>
        <v>0</v>
      </c>
      <c r="DB428" s="19">
        <f t="shared" si="77"/>
        <v>0</v>
      </c>
      <c r="DC428" s="19">
        <f t="shared" si="78"/>
        <v>0</v>
      </c>
      <c r="DD428" s="19">
        <f t="shared" si="79"/>
        <v>0</v>
      </c>
      <c r="DE428" s="19">
        <f t="shared" si="80"/>
        <v>0</v>
      </c>
      <c r="DF428" s="19">
        <f t="shared" si="81"/>
        <v>0</v>
      </c>
      <c r="DG428" s="19">
        <f t="shared" si="82"/>
        <v>0</v>
      </c>
      <c r="DH428" s="20">
        <f t="shared" si="83"/>
        <v>0</v>
      </c>
      <c r="DI428" s="20">
        <f t="shared" si="84"/>
        <v>0</v>
      </c>
      <c r="DJ428" s="2"/>
    </row>
    <row r="429" spans="80:114" x14ac:dyDescent="0.3">
      <c r="CB429" s="18"/>
      <c r="CC429" s="19"/>
      <c r="CD429" s="19"/>
      <c r="CE429" s="19"/>
      <c r="CF429" s="19"/>
      <c r="CG429" s="19"/>
      <c r="CH429" s="19"/>
      <c r="CI429" s="20"/>
      <c r="CJ429" s="20"/>
      <c r="CN429" s="18"/>
      <c r="CO429" s="19"/>
      <c r="CP429" s="19"/>
      <c r="CQ429" s="19"/>
      <c r="CR429" s="19"/>
      <c r="CS429" s="19"/>
      <c r="CT429" s="19"/>
      <c r="CU429" s="20"/>
      <c r="CV429" s="20"/>
      <c r="DA429" s="18">
        <f t="shared" si="76"/>
        <v>0</v>
      </c>
      <c r="DB429" s="19">
        <f t="shared" si="77"/>
        <v>0</v>
      </c>
      <c r="DC429" s="19">
        <f t="shared" si="78"/>
        <v>0</v>
      </c>
      <c r="DD429" s="19">
        <f t="shared" si="79"/>
        <v>0</v>
      </c>
      <c r="DE429" s="19">
        <f t="shared" si="80"/>
        <v>0</v>
      </c>
      <c r="DF429" s="19">
        <f t="shared" si="81"/>
        <v>0</v>
      </c>
      <c r="DG429" s="19">
        <f t="shared" si="82"/>
        <v>0</v>
      </c>
      <c r="DH429" s="20">
        <f t="shared" si="83"/>
        <v>0</v>
      </c>
      <c r="DI429" s="20">
        <f t="shared" si="84"/>
        <v>0</v>
      </c>
      <c r="DJ429" s="2"/>
    </row>
    <row r="430" spans="80:114" x14ac:dyDescent="0.3">
      <c r="CB430" s="18"/>
      <c r="CC430" s="19"/>
      <c r="CD430" s="19"/>
      <c r="CE430" s="19"/>
      <c r="CF430" s="19"/>
      <c r="CG430" s="19"/>
      <c r="CH430" s="19"/>
      <c r="CI430" s="20"/>
      <c r="CJ430" s="20"/>
      <c r="CN430" s="18"/>
      <c r="CO430" s="19"/>
      <c r="CP430" s="19"/>
      <c r="CQ430" s="19"/>
      <c r="CR430" s="19"/>
      <c r="CS430" s="19"/>
      <c r="CT430" s="19"/>
      <c r="CU430" s="20"/>
      <c r="CV430" s="20"/>
      <c r="DA430" s="18">
        <f t="shared" si="76"/>
        <v>0</v>
      </c>
      <c r="DB430" s="19">
        <f t="shared" si="77"/>
        <v>0</v>
      </c>
      <c r="DC430" s="19">
        <f t="shared" si="78"/>
        <v>0</v>
      </c>
      <c r="DD430" s="19">
        <f t="shared" si="79"/>
        <v>0</v>
      </c>
      <c r="DE430" s="19">
        <f t="shared" si="80"/>
        <v>0</v>
      </c>
      <c r="DF430" s="19">
        <f t="shared" si="81"/>
        <v>0</v>
      </c>
      <c r="DG430" s="19">
        <f t="shared" si="82"/>
        <v>0</v>
      </c>
      <c r="DH430" s="20">
        <f t="shared" si="83"/>
        <v>0</v>
      </c>
      <c r="DI430" s="20">
        <f t="shared" si="84"/>
        <v>0</v>
      </c>
      <c r="DJ430" s="2"/>
    </row>
    <row r="431" spans="80:114" x14ac:dyDescent="0.3">
      <c r="CB431" s="18"/>
      <c r="CC431" s="19"/>
      <c r="CD431" s="19"/>
      <c r="CE431" s="19"/>
      <c r="CF431" s="19"/>
      <c r="CG431" s="19"/>
      <c r="CH431" s="19"/>
      <c r="CI431" s="20"/>
      <c r="CJ431" s="20"/>
      <c r="CN431" s="18"/>
      <c r="CO431" s="19"/>
      <c r="CP431" s="19"/>
      <c r="CQ431" s="19"/>
      <c r="CR431" s="19"/>
      <c r="CS431" s="19"/>
      <c r="CT431" s="19"/>
      <c r="CU431" s="20"/>
      <c r="CV431" s="20"/>
      <c r="DA431" s="18">
        <f t="shared" si="76"/>
        <v>0</v>
      </c>
      <c r="DB431" s="19">
        <f t="shared" si="77"/>
        <v>0</v>
      </c>
      <c r="DC431" s="19">
        <f t="shared" si="78"/>
        <v>0</v>
      </c>
      <c r="DD431" s="19">
        <f t="shared" si="79"/>
        <v>0</v>
      </c>
      <c r="DE431" s="19">
        <f t="shared" si="80"/>
        <v>0</v>
      </c>
      <c r="DF431" s="19">
        <f t="shared" si="81"/>
        <v>0</v>
      </c>
      <c r="DG431" s="19">
        <f t="shared" si="82"/>
        <v>0</v>
      </c>
      <c r="DH431" s="20">
        <f t="shared" si="83"/>
        <v>0</v>
      </c>
      <c r="DI431" s="20">
        <f t="shared" si="84"/>
        <v>0</v>
      </c>
      <c r="DJ431" s="2"/>
    </row>
    <row r="432" spans="80:114" x14ac:dyDescent="0.3">
      <c r="CB432" s="18"/>
      <c r="CC432" s="19"/>
      <c r="CD432" s="19"/>
      <c r="CE432" s="19"/>
      <c r="CF432" s="19"/>
      <c r="CG432" s="19"/>
      <c r="CH432" s="19"/>
      <c r="CI432" s="20"/>
      <c r="CJ432" s="20"/>
      <c r="CN432" s="18"/>
      <c r="CO432" s="19"/>
      <c r="CP432" s="19"/>
      <c r="CQ432" s="19"/>
      <c r="CR432" s="19"/>
      <c r="CS432" s="19"/>
      <c r="CT432" s="19"/>
      <c r="CU432" s="20"/>
      <c r="CV432" s="20"/>
      <c r="DA432" s="18">
        <f t="shared" si="76"/>
        <v>0</v>
      </c>
      <c r="DB432" s="19">
        <f t="shared" si="77"/>
        <v>0</v>
      </c>
      <c r="DC432" s="19">
        <f t="shared" si="78"/>
        <v>0</v>
      </c>
      <c r="DD432" s="19">
        <f t="shared" si="79"/>
        <v>0</v>
      </c>
      <c r="DE432" s="19">
        <f t="shared" si="80"/>
        <v>0</v>
      </c>
      <c r="DF432" s="19">
        <f t="shared" si="81"/>
        <v>0</v>
      </c>
      <c r="DG432" s="19">
        <f t="shared" si="82"/>
        <v>0</v>
      </c>
      <c r="DH432" s="20">
        <f t="shared" si="83"/>
        <v>0</v>
      </c>
      <c r="DI432" s="20">
        <f t="shared" si="84"/>
        <v>0</v>
      </c>
      <c r="DJ432" s="2"/>
    </row>
    <row r="433" spans="80:114" x14ac:dyDescent="0.3">
      <c r="CB433" s="18"/>
      <c r="CC433" s="19"/>
      <c r="CD433" s="19"/>
      <c r="CE433" s="19"/>
      <c r="CF433" s="19"/>
      <c r="CG433" s="19"/>
      <c r="CH433" s="19"/>
      <c r="CI433" s="20"/>
      <c r="CJ433" s="20"/>
      <c r="CN433" s="18"/>
      <c r="CO433" s="19"/>
      <c r="CP433" s="19"/>
      <c r="CQ433" s="19"/>
      <c r="CR433" s="19"/>
      <c r="CS433" s="19"/>
      <c r="CT433" s="19"/>
      <c r="CU433" s="20"/>
      <c r="CV433" s="20"/>
      <c r="DA433" s="18">
        <f t="shared" si="76"/>
        <v>0</v>
      </c>
      <c r="DB433" s="19">
        <f t="shared" si="77"/>
        <v>0</v>
      </c>
      <c r="DC433" s="19">
        <f t="shared" si="78"/>
        <v>0</v>
      </c>
      <c r="DD433" s="19">
        <f t="shared" si="79"/>
        <v>0</v>
      </c>
      <c r="DE433" s="19">
        <f t="shared" si="80"/>
        <v>0</v>
      </c>
      <c r="DF433" s="19">
        <f t="shared" si="81"/>
        <v>0</v>
      </c>
      <c r="DG433" s="19">
        <f t="shared" si="82"/>
        <v>0</v>
      </c>
      <c r="DH433" s="20">
        <f t="shared" si="83"/>
        <v>0</v>
      </c>
      <c r="DI433" s="20">
        <f t="shared" si="84"/>
        <v>0</v>
      </c>
      <c r="DJ433" s="2"/>
    </row>
    <row r="434" spans="80:114" x14ac:dyDescent="0.3">
      <c r="CB434" s="18"/>
      <c r="CC434" s="19"/>
      <c r="CD434" s="19"/>
      <c r="CE434" s="19"/>
      <c r="CF434" s="19"/>
      <c r="CG434" s="19"/>
      <c r="CH434" s="19"/>
      <c r="CI434" s="20"/>
      <c r="CJ434" s="20"/>
      <c r="CN434" s="18"/>
      <c r="CO434" s="19"/>
      <c r="CP434" s="19"/>
      <c r="CQ434" s="19"/>
      <c r="CR434" s="19"/>
      <c r="CS434" s="19"/>
      <c r="CT434" s="19"/>
      <c r="CU434" s="20"/>
      <c r="CV434" s="20"/>
      <c r="DA434" s="18">
        <f t="shared" si="76"/>
        <v>0</v>
      </c>
      <c r="DB434" s="19">
        <f t="shared" si="77"/>
        <v>0</v>
      </c>
      <c r="DC434" s="19">
        <f t="shared" si="78"/>
        <v>0</v>
      </c>
      <c r="DD434" s="19">
        <f t="shared" si="79"/>
        <v>0</v>
      </c>
      <c r="DE434" s="19">
        <f t="shared" si="80"/>
        <v>0</v>
      </c>
      <c r="DF434" s="19">
        <f t="shared" si="81"/>
        <v>0</v>
      </c>
      <c r="DG434" s="19">
        <f t="shared" si="82"/>
        <v>0</v>
      </c>
      <c r="DH434" s="20">
        <f t="shared" si="83"/>
        <v>0</v>
      </c>
      <c r="DI434" s="20">
        <f t="shared" si="84"/>
        <v>0</v>
      </c>
      <c r="DJ434" s="2"/>
    </row>
    <row r="435" spans="80:114" x14ac:dyDescent="0.3">
      <c r="CB435" s="18"/>
      <c r="CC435" s="19"/>
      <c r="CD435" s="19"/>
      <c r="CE435" s="19"/>
      <c r="CF435" s="19"/>
      <c r="CG435" s="19"/>
      <c r="CH435" s="19"/>
      <c r="CI435" s="20"/>
      <c r="CJ435" s="20"/>
      <c r="CN435" s="18"/>
      <c r="CO435" s="19"/>
      <c r="CP435" s="19"/>
      <c r="CQ435" s="19"/>
      <c r="CR435" s="19"/>
      <c r="CS435" s="19"/>
      <c r="CT435" s="19"/>
      <c r="CU435" s="20"/>
      <c r="CV435" s="20"/>
      <c r="DA435" s="18">
        <f t="shared" si="76"/>
        <v>0</v>
      </c>
      <c r="DB435" s="19">
        <f t="shared" si="77"/>
        <v>0</v>
      </c>
      <c r="DC435" s="19">
        <f t="shared" si="78"/>
        <v>0</v>
      </c>
      <c r="DD435" s="19">
        <f t="shared" si="79"/>
        <v>0</v>
      </c>
      <c r="DE435" s="19">
        <f t="shared" si="80"/>
        <v>0</v>
      </c>
      <c r="DF435" s="19">
        <f t="shared" si="81"/>
        <v>0</v>
      </c>
      <c r="DG435" s="19">
        <f t="shared" si="82"/>
        <v>0</v>
      </c>
      <c r="DH435" s="20">
        <f t="shared" si="83"/>
        <v>0</v>
      </c>
      <c r="DI435" s="20">
        <f t="shared" si="84"/>
        <v>0</v>
      </c>
      <c r="DJ435" s="2"/>
    </row>
    <row r="436" spans="80:114" x14ac:dyDescent="0.3">
      <c r="CB436" s="18"/>
      <c r="CC436" s="19"/>
      <c r="CD436" s="19"/>
      <c r="CE436" s="19"/>
      <c r="CF436" s="19"/>
      <c r="CG436" s="19"/>
      <c r="CH436" s="19"/>
      <c r="CI436" s="20"/>
      <c r="CJ436" s="20"/>
      <c r="CN436" s="18"/>
      <c r="CO436" s="19"/>
      <c r="CP436" s="19"/>
      <c r="CQ436" s="19"/>
      <c r="CR436" s="19"/>
      <c r="CS436" s="19"/>
      <c r="CT436" s="19"/>
      <c r="CU436" s="20"/>
      <c r="CV436" s="20"/>
      <c r="DA436" s="18">
        <f t="shared" si="76"/>
        <v>0</v>
      </c>
      <c r="DB436" s="19">
        <f t="shared" si="77"/>
        <v>0</v>
      </c>
      <c r="DC436" s="19">
        <f t="shared" si="78"/>
        <v>0</v>
      </c>
      <c r="DD436" s="19">
        <f t="shared" si="79"/>
        <v>0</v>
      </c>
      <c r="DE436" s="19">
        <f t="shared" si="80"/>
        <v>0</v>
      </c>
      <c r="DF436" s="19">
        <f t="shared" si="81"/>
        <v>0</v>
      </c>
      <c r="DG436" s="19">
        <f t="shared" si="82"/>
        <v>0</v>
      </c>
      <c r="DH436" s="20">
        <f t="shared" si="83"/>
        <v>0</v>
      </c>
      <c r="DI436" s="20">
        <f t="shared" si="84"/>
        <v>0</v>
      </c>
      <c r="DJ436" s="2"/>
    </row>
    <row r="437" spans="80:114" x14ac:dyDescent="0.3">
      <c r="CB437" s="18"/>
      <c r="CC437" s="19"/>
      <c r="CD437" s="19"/>
      <c r="CE437" s="19"/>
      <c r="CF437" s="19"/>
      <c r="CG437" s="19"/>
      <c r="CH437" s="19"/>
      <c r="CI437" s="20"/>
      <c r="CJ437" s="20"/>
      <c r="CN437" s="18"/>
      <c r="CO437" s="19"/>
      <c r="CP437" s="19"/>
      <c r="CQ437" s="19"/>
      <c r="CR437" s="19"/>
      <c r="CS437" s="19"/>
      <c r="CT437" s="19"/>
      <c r="CU437" s="20"/>
      <c r="CV437" s="20"/>
      <c r="DA437" s="18">
        <f t="shared" si="76"/>
        <v>0</v>
      </c>
      <c r="DB437" s="19">
        <f t="shared" si="77"/>
        <v>0</v>
      </c>
      <c r="DC437" s="19">
        <f t="shared" si="78"/>
        <v>0</v>
      </c>
      <c r="DD437" s="19">
        <f t="shared" si="79"/>
        <v>0</v>
      </c>
      <c r="DE437" s="19">
        <f t="shared" si="80"/>
        <v>0</v>
      </c>
      <c r="DF437" s="19">
        <f t="shared" si="81"/>
        <v>0</v>
      </c>
      <c r="DG437" s="19">
        <f t="shared" si="82"/>
        <v>0</v>
      </c>
      <c r="DH437" s="20">
        <f t="shared" si="83"/>
        <v>0</v>
      </c>
      <c r="DI437" s="20">
        <f t="shared" si="84"/>
        <v>0</v>
      </c>
      <c r="DJ437" s="2"/>
    </row>
    <row r="438" spans="80:114" x14ac:dyDescent="0.3">
      <c r="CB438" s="18"/>
      <c r="CC438" s="19"/>
      <c r="CD438" s="19"/>
      <c r="CE438" s="19"/>
      <c r="CF438" s="19"/>
      <c r="CG438" s="19"/>
      <c r="CH438" s="19"/>
      <c r="CI438" s="20"/>
      <c r="CJ438" s="20"/>
      <c r="CN438" s="18"/>
      <c r="CO438" s="19"/>
      <c r="CP438" s="19"/>
      <c r="CQ438" s="19"/>
      <c r="CR438" s="19"/>
      <c r="CS438" s="19"/>
      <c r="CT438" s="19"/>
      <c r="CU438" s="20"/>
      <c r="CV438" s="20"/>
      <c r="DA438" s="18">
        <f t="shared" si="76"/>
        <v>0</v>
      </c>
      <c r="DB438" s="19">
        <f t="shared" si="77"/>
        <v>0</v>
      </c>
      <c r="DC438" s="19">
        <f t="shared" si="78"/>
        <v>0</v>
      </c>
      <c r="DD438" s="19">
        <f t="shared" si="79"/>
        <v>0</v>
      </c>
      <c r="DE438" s="19">
        <f t="shared" si="80"/>
        <v>0</v>
      </c>
      <c r="DF438" s="19">
        <f t="shared" si="81"/>
        <v>0</v>
      </c>
      <c r="DG438" s="19">
        <f t="shared" si="82"/>
        <v>0</v>
      </c>
      <c r="DH438" s="20">
        <f t="shared" si="83"/>
        <v>0</v>
      </c>
      <c r="DI438" s="20">
        <f t="shared" si="84"/>
        <v>0</v>
      </c>
      <c r="DJ438" s="2"/>
    </row>
    <row r="439" spans="80:114" x14ac:dyDescent="0.3">
      <c r="CB439" s="18"/>
      <c r="CC439" s="19"/>
      <c r="CD439" s="19"/>
      <c r="CE439" s="19"/>
      <c r="CF439" s="19"/>
      <c r="CG439" s="19"/>
      <c r="CH439" s="19"/>
      <c r="CI439" s="20"/>
      <c r="CJ439" s="20"/>
      <c r="CN439" s="18"/>
      <c r="CO439" s="19"/>
      <c r="CP439" s="19"/>
      <c r="CQ439" s="19"/>
      <c r="CR439" s="19"/>
      <c r="CS439" s="19"/>
      <c r="CT439" s="19"/>
      <c r="CU439" s="20"/>
      <c r="CV439" s="20"/>
      <c r="DA439" s="18">
        <f t="shared" si="76"/>
        <v>0</v>
      </c>
      <c r="DB439" s="19">
        <f t="shared" si="77"/>
        <v>0</v>
      </c>
      <c r="DC439" s="19">
        <f t="shared" si="78"/>
        <v>0</v>
      </c>
      <c r="DD439" s="19">
        <f t="shared" si="79"/>
        <v>0</v>
      </c>
      <c r="DE439" s="19">
        <f t="shared" si="80"/>
        <v>0</v>
      </c>
      <c r="DF439" s="19">
        <f t="shared" si="81"/>
        <v>0</v>
      </c>
      <c r="DG439" s="19">
        <f t="shared" si="82"/>
        <v>0</v>
      </c>
      <c r="DH439" s="20">
        <f t="shared" si="83"/>
        <v>0</v>
      </c>
      <c r="DI439" s="20">
        <f t="shared" si="84"/>
        <v>0</v>
      </c>
      <c r="DJ439" s="2"/>
    </row>
    <row r="440" spans="80:114" x14ac:dyDescent="0.3">
      <c r="CB440" s="18"/>
      <c r="CC440" s="19"/>
      <c r="CD440" s="19"/>
      <c r="CE440" s="19"/>
      <c r="CF440" s="19"/>
      <c r="CG440" s="19"/>
      <c r="CH440" s="19"/>
      <c r="CI440" s="20"/>
      <c r="CJ440" s="20"/>
      <c r="CN440" s="18"/>
      <c r="CO440" s="19"/>
      <c r="CP440" s="19"/>
      <c r="CQ440" s="19"/>
      <c r="CR440" s="19"/>
      <c r="CS440" s="19"/>
      <c r="CT440" s="19"/>
      <c r="CU440" s="20"/>
      <c r="CV440" s="20"/>
      <c r="DA440" s="18">
        <f t="shared" si="76"/>
        <v>0</v>
      </c>
      <c r="DB440" s="19">
        <f t="shared" si="77"/>
        <v>0</v>
      </c>
      <c r="DC440" s="19">
        <f t="shared" si="78"/>
        <v>0</v>
      </c>
      <c r="DD440" s="19">
        <f t="shared" si="79"/>
        <v>0</v>
      </c>
      <c r="DE440" s="19">
        <f t="shared" si="80"/>
        <v>0</v>
      </c>
      <c r="DF440" s="19">
        <f t="shared" si="81"/>
        <v>0</v>
      </c>
      <c r="DG440" s="19">
        <f t="shared" si="82"/>
        <v>0</v>
      </c>
      <c r="DH440" s="20">
        <f t="shared" si="83"/>
        <v>0</v>
      </c>
      <c r="DI440" s="20">
        <f t="shared" si="84"/>
        <v>0</v>
      </c>
      <c r="DJ440" s="2"/>
    </row>
    <row r="441" spans="80:114" x14ac:dyDescent="0.3">
      <c r="CB441" s="18"/>
      <c r="CC441" s="19"/>
      <c r="CD441" s="19"/>
      <c r="CE441" s="19"/>
      <c r="CF441" s="19"/>
      <c r="CG441" s="19"/>
      <c r="CH441" s="19"/>
      <c r="CI441" s="20"/>
      <c r="CJ441" s="20"/>
      <c r="CN441" s="18"/>
      <c r="CO441" s="19"/>
      <c r="CP441" s="19"/>
      <c r="CQ441" s="19"/>
      <c r="CR441" s="19"/>
      <c r="CS441" s="19"/>
      <c r="CT441" s="19"/>
      <c r="CU441" s="20"/>
      <c r="CV441" s="20"/>
      <c r="DA441" s="18">
        <f t="shared" si="76"/>
        <v>0</v>
      </c>
      <c r="DB441" s="19">
        <f t="shared" si="77"/>
        <v>0</v>
      </c>
      <c r="DC441" s="19">
        <f t="shared" si="78"/>
        <v>0</v>
      </c>
      <c r="DD441" s="19">
        <f t="shared" si="79"/>
        <v>0</v>
      </c>
      <c r="DE441" s="19">
        <f t="shared" si="80"/>
        <v>0</v>
      </c>
      <c r="DF441" s="19">
        <f t="shared" si="81"/>
        <v>0</v>
      </c>
      <c r="DG441" s="19">
        <f t="shared" si="82"/>
        <v>0</v>
      </c>
      <c r="DH441" s="20">
        <f t="shared" si="83"/>
        <v>0</v>
      </c>
      <c r="DI441" s="20">
        <f t="shared" si="84"/>
        <v>0</v>
      </c>
      <c r="DJ441" s="2"/>
    </row>
    <row r="442" spans="80:114" x14ac:dyDescent="0.3">
      <c r="CB442" s="18"/>
      <c r="CC442" s="19"/>
      <c r="CD442" s="19"/>
      <c r="CE442" s="19"/>
      <c r="CF442" s="19"/>
      <c r="CG442" s="19"/>
      <c r="CH442" s="19"/>
      <c r="CI442" s="20"/>
      <c r="CJ442" s="20"/>
      <c r="CN442" s="18"/>
      <c r="CO442" s="19"/>
      <c r="CP442" s="19"/>
      <c r="CQ442" s="19"/>
      <c r="CR442" s="19"/>
      <c r="CS442" s="19"/>
      <c r="CT442" s="19"/>
      <c r="CU442" s="20"/>
      <c r="CV442" s="20"/>
      <c r="DA442" s="18">
        <f t="shared" si="76"/>
        <v>0</v>
      </c>
      <c r="DB442" s="19">
        <f t="shared" si="77"/>
        <v>0</v>
      </c>
      <c r="DC442" s="19">
        <f t="shared" si="78"/>
        <v>0</v>
      </c>
      <c r="DD442" s="19">
        <f t="shared" si="79"/>
        <v>0</v>
      </c>
      <c r="DE442" s="19">
        <f t="shared" si="80"/>
        <v>0</v>
      </c>
      <c r="DF442" s="19">
        <f t="shared" si="81"/>
        <v>0</v>
      </c>
      <c r="DG442" s="19">
        <f t="shared" si="82"/>
        <v>0</v>
      </c>
      <c r="DH442" s="20">
        <f t="shared" si="83"/>
        <v>0</v>
      </c>
      <c r="DI442" s="20">
        <f t="shared" si="84"/>
        <v>0</v>
      </c>
      <c r="DJ442" s="2"/>
    </row>
    <row r="443" spans="80:114" x14ac:dyDescent="0.3">
      <c r="CB443" s="18"/>
      <c r="CC443" s="19"/>
      <c r="CD443" s="19"/>
      <c r="CE443" s="19"/>
      <c r="CF443" s="19"/>
      <c r="CG443" s="19"/>
      <c r="CH443" s="19"/>
      <c r="CI443" s="20"/>
      <c r="CJ443" s="20"/>
      <c r="CN443" s="18"/>
      <c r="CO443" s="19"/>
      <c r="CP443" s="19"/>
      <c r="CQ443" s="19"/>
      <c r="CR443" s="19"/>
      <c r="CS443" s="19"/>
      <c r="CT443" s="19"/>
      <c r="CU443" s="20"/>
      <c r="CV443" s="20"/>
      <c r="DA443" s="18">
        <f t="shared" si="76"/>
        <v>0</v>
      </c>
      <c r="DB443" s="19">
        <f t="shared" si="77"/>
        <v>0</v>
      </c>
      <c r="DC443" s="19">
        <f t="shared" si="78"/>
        <v>0</v>
      </c>
      <c r="DD443" s="19">
        <f t="shared" si="79"/>
        <v>0</v>
      </c>
      <c r="DE443" s="19">
        <f t="shared" si="80"/>
        <v>0</v>
      </c>
      <c r="DF443" s="19">
        <f t="shared" si="81"/>
        <v>0</v>
      </c>
      <c r="DG443" s="19">
        <f t="shared" si="82"/>
        <v>0</v>
      </c>
      <c r="DH443" s="20">
        <f t="shared" si="83"/>
        <v>0</v>
      </c>
      <c r="DI443" s="20">
        <f t="shared" si="84"/>
        <v>0</v>
      </c>
      <c r="DJ443" s="2"/>
    </row>
    <row r="444" spans="80:114" x14ac:dyDescent="0.3">
      <c r="CB444" s="18"/>
      <c r="CC444" s="19"/>
      <c r="CD444" s="19"/>
      <c r="CE444" s="19"/>
      <c r="CF444" s="19"/>
      <c r="CG444" s="19"/>
      <c r="CH444" s="19"/>
      <c r="CI444" s="20"/>
      <c r="CJ444" s="20"/>
      <c r="CN444" s="18"/>
      <c r="CO444" s="19"/>
      <c r="CP444" s="19"/>
      <c r="CQ444" s="19"/>
      <c r="CR444" s="19"/>
      <c r="CS444" s="19"/>
      <c r="CT444" s="19"/>
      <c r="CU444" s="20"/>
      <c r="CV444" s="20"/>
      <c r="DA444" s="18">
        <f t="shared" si="76"/>
        <v>0</v>
      </c>
      <c r="DB444" s="19">
        <f t="shared" si="77"/>
        <v>0</v>
      </c>
      <c r="DC444" s="19">
        <f t="shared" si="78"/>
        <v>0</v>
      </c>
      <c r="DD444" s="19">
        <f t="shared" si="79"/>
        <v>0</v>
      </c>
      <c r="DE444" s="19">
        <f t="shared" si="80"/>
        <v>0</v>
      </c>
      <c r="DF444" s="19">
        <f t="shared" si="81"/>
        <v>0</v>
      </c>
      <c r="DG444" s="19">
        <f t="shared" si="82"/>
        <v>0</v>
      </c>
      <c r="DH444" s="20">
        <f t="shared" si="83"/>
        <v>0</v>
      </c>
      <c r="DI444" s="20">
        <f t="shared" si="84"/>
        <v>0</v>
      </c>
      <c r="DJ444" s="2"/>
    </row>
    <row r="445" spans="80:114" x14ac:dyDescent="0.3">
      <c r="CB445" s="18"/>
      <c r="CC445" s="19"/>
      <c r="CD445" s="19"/>
      <c r="CE445" s="19"/>
      <c r="CF445" s="19"/>
      <c r="CG445" s="19"/>
      <c r="CH445" s="19"/>
      <c r="CI445" s="20"/>
      <c r="CJ445" s="20"/>
      <c r="CN445" s="18"/>
      <c r="CO445" s="19"/>
      <c r="CP445" s="19"/>
      <c r="CQ445" s="19"/>
      <c r="CR445" s="19"/>
      <c r="CS445" s="19"/>
      <c r="CT445" s="19"/>
      <c r="CU445" s="20"/>
      <c r="CV445" s="20"/>
      <c r="DA445" s="18">
        <f t="shared" si="76"/>
        <v>0</v>
      </c>
      <c r="DB445" s="19">
        <f t="shared" si="77"/>
        <v>0</v>
      </c>
      <c r="DC445" s="19">
        <f t="shared" si="78"/>
        <v>0</v>
      </c>
      <c r="DD445" s="19">
        <f t="shared" si="79"/>
        <v>0</v>
      </c>
      <c r="DE445" s="19">
        <f t="shared" si="80"/>
        <v>0</v>
      </c>
      <c r="DF445" s="19">
        <f t="shared" si="81"/>
        <v>0</v>
      </c>
      <c r="DG445" s="19">
        <f t="shared" si="82"/>
        <v>0</v>
      </c>
      <c r="DH445" s="20">
        <f t="shared" si="83"/>
        <v>0</v>
      </c>
      <c r="DI445" s="20">
        <f t="shared" si="84"/>
        <v>0</v>
      </c>
      <c r="DJ445" s="2"/>
    </row>
    <row r="446" spans="80:114" x14ac:dyDescent="0.3">
      <c r="CB446" s="18"/>
      <c r="CC446" s="19"/>
      <c r="CD446" s="19"/>
      <c r="CE446" s="19"/>
      <c r="CF446" s="19"/>
      <c r="CG446" s="19"/>
      <c r="CH446" s="19"/>
      <c r="CI446" s="20"/>
      <c r="CJ446" s="20"/>
      <c r="CN446" s="18"/>
      <c r="CO446" s="19"/>
      <c r="CP446" s="19"/>
      <c r="CQ446" s="19"/>
      <c r="CR446" s="19"/>
      <c r="CS446" s="19"/>
      <c r="CT446" s="19"/>
      <c r="CU446" s="20"/>
      <c r="CV446" s="20"/>
      <c r="DA446" s="18">
        <f t="shared" si="76"/>
        <v>0</v>
      </c>
      <c r="DB446" s="19">
        <f t="shared" si="77"/>
        <v>0</v>
      </c>
      <c r="DC446" s="19">
        <f t="shared" si="78"/>
        <v>0</v>
      </c>
      <c r="DD446" s="19">
        <f t="shared" si="79"/>
        <v>0</v>
      </c>
      <c r="DE446" s="19">
        <f t="shared" si="80"/>
        <v>0</v>
      </c>
      <c r="DF446" s="19">
        <f t="shared" si="81"/>
        <v>0</v>
      </c>
      <c r="DG446" s="19">
        <f t="shared" si="82"/>
        <v>0</v>
      </c>
      <c r="DH446" s="20">
        <f t="shared" si="83"/>
        <v>0</v>
      </c>
      <c r="DI446" s="20">
        <f t="shared" si="84"/>
        <v>0</v>
      </c>
      <c r="DJ446" s="2"/>
    </row>
    <row r="447" spans="80:114" x14ac:dyDescent="0.3">
      <c r="CB447" s="18"/>
      <c r="CC447" s="19"/>
      <c r="CD447" s="19"/>
      <c r="CE447" s="19"/>
      <c r="CF447" s="19"/>
      <c r="CG447" s="19"/>
      <c r="CH447" s="19"/>
      <c r="CI447" s="20"/>
      <c r="CJ447" s="20"/>
      <c r="CN447" s="18"/>
      <c r="CO447" s="19"/>
      <c r="CP447" s="19"/>
      <c r="CQ447" s="19"/>
      <c r="CR447" s="19"/>
      <c r="CS447" s="19"/>
      <c r="CT447" s="19"/>
      <c r="CU447" s="20"/>
      <c r="CV447" s="20"/>
      <c r="DA447" s="18">
        <f t="shared" si="76"/>
        <v>0</v>
      </c>
      <c r="DB447" s="19">
        <f t="shared" si="77"/>
        <v>0</v>
      </c>
      <c r="DC447" s="19">
        <f t="shared" si="78"/>
        <v>0</v>
      </c>
      <c r="DD447" s="19">
        <f t="shared" si="79"/>
        <v>0</v>
      </c>
      <c r="DE447" s="19">
        <f t="shared" si="80"/>
        <v>0</v>
      </c>
      <c r="DF447" s="19">
        <f t="shared" si="81"/>
        <v>0</v>
      </c>
      <c r="DG447" s="19">
        <f t="shared" si="82"/>
        <v>0</v>
      </c>
      <c r="DH447" s="20">
        <f t="shared" si="83"/>
        <v>0</v>
      </c>
      <c r="DI447" s="20">
        <f t="shared" si="84"/>
        <v>0</v>
      </c>
      <c r="DJ447" s="2"/>
    </row>
    <row r="448" spans="80:114" x14ac:dyDescent="0.3">
      <c r="CB448" s="18"/>
      <c r="CC448" s="19"/>
      <c r="CD448" s="19"/>
      <c r="CE448" s="19"/>
      <c r="CF448" s="19"/>
      <c r="CG448" s="19"/>
      <c r="CH448" s="19"/>
      <c r="CI448" s="20"/>
      <c r="CJ448" s="20"/>
      <c r="CN448" s="18"/>
      <c r="CO448" s="19"/>
      <c r="CP448" s="19"/>
      <c r="CQ448" s="19"/>
      <c r="CR448" s="19"/>
      <c r="CS448" s="19"/>
      <c r="CT448" s="19"/>
      <c r="CU448" s="20"/>
      <c r="CV448" s="20"/>
      <c r="DA448" s="18">
        <f t="shared" si="76"/>
        <v>0</v>
      </c>
      <c r="DB448" s="19">
        <f t="shared" si="77"/>
        <v>0</v>
      </c>
      <c r="DC448" s="19">
        <f t="shared" si="78"/>
        <v>0</v>
      </c>
      <c r="DD448" s="19">
        <f t="shared" si="79"/>
        <v>0</v>
      </c>
      <c r="DE448" s="19">
        <f t="shared" si="80"/>
        <v>0</v>
      </c>
      <c r="DF448" s="19">
        <f t="shared" si="81"/>
        <v>0</v>
      </c>
      <c r="DG448" s="19">
        <f t="shared" si="82"/>
        <v>0</v>
      </c>
      <c r="DH448" s="20">
        <f t="shared" si="83"/>
        <v>0</v>
      </c>
      <c r="DI448" s="20">
        <f t="shared" si="84"/>
        <v>0</v>
      </c>
      <c r="DJ448" s="2"/>
    </row>
    <row r="449" spans="80:114" x14ac:dyDescent="0.3">
      <c r="CB449" s="18"/>
      <c r="CC449" s="19"/>
      <c r="CD449" s="19"/>
      <c r="CE449" s="19"/>
      <c r="CF449" s="19"/>
      <c r="CG449" s="19"/>
      <c r="CH449" s="19"/>
      <c r="CI449" s="20"/>
      <c r="CJ449" s="20"/>
      <c r="CN449" s="18"/>
      <c r="CO449" s="19"/>
      <c r="CP449" s="19"/>
      <c r="CQ449" s="19"/>
      <c r="CR449" s="19"/>
      <c r="CS449" s="19"/>
      <c r="CT449" s="19"/>
      <c r="CU449" s="20"/>
      <c r="CV449" s="20"/>
      <c r="DA449" s="18">
        <f t="shared" si="76"/>
        <v>0</v>
      </c>
      <c r="DB449" s="19">
        <f t="shared" si="77"/>
        <v>0</v>
      </c>
      <c r="DC449" s="19">
        <f t="shared" si="78"/>
        <v>0</v>
      </c>
      <c r="DD449" s="19">
        <f t="shared" si="79"/>
        <v>0</v>
      </c>
      <c r="DE449" s="19">
        <f t="shared" si="80"/>
        <v>0</v>
      </c>
      <c r="DF449" s="19">
        <f t="shared" si="81"/>
        <v>0</v>
      </c>
      <c r="DG449" s="19">
        <f t="shared" si="82"/>
        <v>0</v>
      </c>
      <c r="DH449" s="20">
        <f t="shared" si="83"/>
        <v>0</v>
      </c>
      <c r="DI449" s="20">
        <f t="shared" si="84"/>
        <v>0</v>
      </c>
      <c r="DJ449" s="2"/>
    </row>
    <row r="450" spans="80:114" x14ac:dyDescent="0.3">
      <c r="CB450" s="18"/>
      <c r="CC450" s="19"/>
      <c r="CD450" s="19"/>
      <c r="CE450" s="19"/>
      <c r="CF450" s="19"/>
      <c r="CG450" s="19"/>
      <c r="CH450" s="19"/>
      <c r="CI450" s="20"/>
      <c r="CJ450" s="20"/>
      <c r="CN450" s="18"/>
      <c r="CO450" s="19"/>
      <c r="CP450" s="19"/>
      <c r="CQ450" s="19"/>
      <c r="CR450" s="19"/>
      <c r="CS450" s="19"/>
      <c r="CT450" s="19"/>
      <c r="CU450" s="20"/>
      <c r="CV450" s="20"/>
      <c r="DA450" s="18">
        <f t="shared" si="76"/>
        <v>0</v>
      </c>
      <c r="DB450" s="19">
        <f t="shared" si="77"/>
        <v>0</v>
      </c>
      <c r="DC450" s="19">
        <f t="shared" si="78"/>
        <v>0</v>
      </c>
      <c r="DD450" s="19">
        <f t="shared" si="79"/>
        <v>0</v>
      </c>
      <c r="DE450" s="19">
        <f t="shared" si="80"/>
        <v>0</v>
      </c>
      <c r="DF450" s="19">
        <f t="shared" si="81"/>
        <v>0</v>
      </c>
      <c r="DG450" s="19">
        <f t="shared" si="82"/>
        <v>0</v>
      </c>
      <c r="DH450" s="20">
        <f t="shared" si="83"/>
        <v>0</v>
      </c>
      <c r="DI450" s="20">
        <f t="shared" si="84"/>
        <v>0</v>
      </c>
      <c r="DJ450" s="2"/>
    </row>
    <row r="451" spans="80:114" x14ac:dyDescent="0.3">
      <c r="CB451" s="18"/>
      <c r="CC451" s="19"/>
      <c r="CD451" s="19"/>
      <c r="CE451" s="19"/>
      <c r="CF451" s="19"/>
      <c r="CG451" s="19"/>
      <c r="CH451" s="19"/>
      <c r="CI451" s="20"/>
      <c r="CJ451" s="20"/>
      <c r="CN451" s="18"/>
      <c r="CO451" s="19"/>
      <c r="CP451" s="19"/>
      <c r="CQ451" s="19"/>
      <c r="CR451" s="19"/>
      <c r="CS451" s="19"/>
      <c r="CT451" s="19"/>
      <c r="CU451" s="20"/>
      <c r="CV451" s="20"/>
      <c r="DA451" s="18">
        <f t="shared" ref="DA451:DA514" si="85">IF($BZ$2=1,CN451,CB451)</f>
        <v>0</v>
      </c>
      <c r="DB451" s="19">
        <f t="shared" ref="DB451:DB514" si="86">IF($BZ$2=1,CO451,CC451)</f>
        <v>0</v>
      </c>
      <c r="DC451" s="19">
        <f t="shared" ref="DC451:DC514" si="87">IF($BZ$2=1,CP451,CD451)</f>
        <v>0</v>
      </c>
      <c r="DD451" s="19">
        <f t="shared" ref="DD451:DD514" si="88">IF($BZ$2=1,CQ451,CE451)</f>
        <v>0</v>
      </c>
      <c r="DE451" s="19">
        <f t="shared" ref="DE451:DE514" si="89">IF($BZ$2=1,CR451,CF451)</f>
        <v>0</v>
      </c>
      <c r="DF451" s="19">
        <f t="shared" ref="DF451:DF514" si="90">IF($BZ$2=1,CS451,CG451)</f>
        <v>0</v>
      </c>
      <c r="DG451" s="19">
        <f t="shared" ref="DG451:DG514" si="91">IF($BZ$2=1,CT451,CH451)</f>
        <v>0</v>
      </c>
      <c r="DH451" s="20">
        <f t="shared" ref="DH451:DH514" si="92">IF($BZ$2=1,CU451,CI451)</f>
        <v>0</v>
      </c>
      <c r="DI451" s="20">
        <f t="shared" ref="DI451:DI514" si="93">IF($BZ$2=1,CV451,CJ451)</f>
        <v>0</v>
      </c>
      <c r="DJ451" s="2"/>
    </row>
    <row r="452" spans="80:114" x14ac:dyDescent="0.3">
      <c r="CB452" s="18"/>
      <c r="CC452" s="19"/>
      <c r="CD452" s="19"/>
      <c r="CE452" s="19"/>
      <c r="CF452" s="19"/>
      <c r="CG452" s="19"/>
      <c r="CH452" s="19"/>
      <c r="CI452" s="20"/>
      <c r="CJ452" s="20"/>
      <c r="CN452" s="18"/>
      <c r="CO452" s="19"/>
      <c r="CP452" s="19"/>
      <c r="CQ452" s="19"/>
      <c r="CR452" s="19"/>
      <c r="CS452" s="19"/>
      <c r="CT452" s="19"/>
      <c r="CU452" s="20"/>
      <c r="CV452" s="20"/>
      <c r="DA452" s="18">
        <f t="shared" si="85"/>
        <v>0</v>
      </c>
      <c r="DB452" s="19">
        <f t="shared" si="86"/>
        <v>0</v>
      </c>
      <c r="DC452" s="19">
        <f t="shared" si="87"/>
        <v>0</v>
      </c>
      <c r="DD452" s="19">
        <f t="shared" si="88"/>
        <v>0</v>
      </c>
      <c r="DE452" s="19">
        <f t="shared" si="89"/>
        <v>0</v>
      </c>
      <c r="DF452" s="19">
        <f t="shared" si="90"/>
        <v>0</v>
      </c>
      <c r="DG452" s="19">
        <f t="shared" si="91"/>
        <v>0</v>
      </c>
      <c r="DH452" s="20">
        <f t="shared" si="92"/>
        <v>0</v>
      </c>
      <c r="DI452" s="20">
        <f t="shared" si="93"/>
        <v>0</v>
      </c>
      <c r="DJ452" s="2"/>
    </row>
    <row r="453" spans="80:114" x14ac:dyDescent="0.3">
      <c r="CB453" s="18"/>
      <c r="CC453" s="19"/>
      <c r="CD453" s="19"/>
      <c r="CE453" s="19"/>
      <c r="CF453" s="19"/>
      <c r="CG453" s="19"/>
      <c r="CH453" s="19"/>
      <c r="CI453" s="20"/>
      <c r="CJ453" s="20"/>
      <c r="CN453" s="18"/>
      <c r="CO453" s="19"/>
      <c r="CP453" s="19"/>
      <c r="CQ453" s="19"/>
      <c r="CR453" s="19"/>
      <c r="CS453" s="19"/>
      <c r="CT453" s="19"/>
      <c r="CU453" s="20"/>
      <c r="CV453" s="20"/>
      <c r="DA453" s="18">
        <f t="shared" si="85"/>
        <v>0</v>
      </c>
      <c r="DB453" s="19">
        <f t="shared" si="86"/>
        <v>0</v>
      </c>
      <c r="DC453" s="19">
        <f t="shared" si="87"/>
        <v>0</v>
      </c>
      <c r="DD453" s="19">
        <f t="shared" si="88"/>
        <v>0</v>
      </c>
      <c r="DE453" s="19">
        <f t="shared" si="89"/>
        <v>0</v>
      </c>
      <c r="DF453" s="19">
        <f t="shared" si="90"/>
        <v>0</v>
      </c>
      <c r="DG453" s="19">
        <f t="shared" si="91"/>
        <v>0</v>
      </c>
      <c r="DH453" s="20">
        <f t="shared" si="92"/>
        <v>0</v>
      </c>
      <c r="DI453" s="20">
        <f t="shared" si="93"/>
        <v>0</v>
      </c>
      <c r="DJ453" s="2"/>
    </row>
    <row r="454" spans="80:114" x14ac:dyDescent="0.3">
      <c r="CB454" s="18"/>
      <c r="CC454" s="19"/>
      <c r="CD454" s="19"/>
      <c r="CE454" s="19"/>
      <c r="CF454" s="19"/>
      <c r="CG454" s="19"/>
      <c r="CH454" s="19"/>
      <c r="CI454" s="20"/>
      <c r="CJ454" s="20"/>
      <c r="CN454" s="18"/>
      <c r="CO454" s="19"/>
      <c r="CP454" s="19"/>
      <c r="CQ454" s="19"/>
      <c r="CR454" s="19"/>
      <c r="CS454" s="19"/>
      <c r="CT454" s="19"/>
      <c r="CU454" s="20"/>
      <c r="CV454" s="20"/>
      <c r="DA454" s="18">
        <f t="shared" si="85"/>
        <v>0</v>
      </c>
      <c r="DB454" s="19">
        <f t="shared" si="86"/>
        <v>0</v>
      </c>
      <c r="DC454" s="19">
        <f t="shared" si="87"/>
        <v>0</v>
      </c>
      <c r="DD454" s="19">
        <f t="shared" si="88"/>
        <v>0</v>
      </c>
      <c r="DE454" s="19">
        <f t="shared" si="89"/>
        <v>0</v>
      </c>
      <c r="DF454" s="19">
        <f t="shared" si="90"/>
        <v>0</v>
      </c>
      <c r="DG454" s="19">
        <f t="shared" si="91"/>
        <v>0</v>
      </c>
      <c r="DH454" s="20">
        <f t="shared" si="92"/>
        <v>0</v>
      </c>
      <c r="DI454" s="20">
        <f t="shared" si="93"/>
        <v>0</v>
      </c>
      <c r="DJ454" s="2"/>
    </row>
    <row r="455" spans="80:114" x14ac:dyDescent="0.3">
      <c r="CB455" s="18"/>
      <c r="CC455" s="19"/>
      <c r="CD455" s="19"/>
      <c r="CE455" s="19"/>
      <c r="CF455" s="19"/>
      <c r="CG455" s="19"/>
      <c r="CH455" s="19"/>
      <c r="CI455" s="20"/>
      <c r="CJ455" s="20"/>
      <c r="CN455" s="18"/>
      <c r="CO455" s="19"/>
      <c r="CP455" s="19"/>
      <c r="CQ455" s="19"/>
      <c r="CR455" s="19"/>
      <c r="CS455" s="19"/>
      <c r="CT455" s="19"/>
      <c r="CU455" s="20"/>
      <c r="CV455" s="20"/>
      <c r="DA455" s="18">
        <f t="shared" si="85"/>
        <v>0</v>
      </c>
      <c r="DB455" s="19">
        <f t="shared" si="86"/>
        <v>0</v>
      </c>
      <c r="DC455" s="19">
        <f t="shared" si="87"/>
        <v>0</v>
      </c>
      <c r="DD455" s="19">
        <f t="shared" si="88"/>
        <v>0</v>
      </c>
      <c r="DE455" s="19">
        <f t="shared" si="89"/>
        <v>0</v>
      </c>
      <c r="DF455" s="19">
        <f t="shared" si="90"/>
        <v>0</v>
      </c>
      <c r="DG455" s="19">
        <f t="shared" si="91"/>
        <v>0</v>
      </c>
      <c r="DH455" s="20">
        <f t="shared" si="92"/>
        <v>0</v>
      </c>
      <c r="DI455" s="20">
        <f t="shared" si="93"/>
        <v>0</v>
      </c>
      <c r="DJ455" s="2"/>
    </row>
    <row r="456" spans="80:114" x14ac:dyDescent="0.3">
      <c r="CB456" s="18"/>
      <c r="CC456" s="19"/>
      <c r="CD456" s="19"/>
      <c r="CE456" s="19"/>
      <c r="CF456" s="19"/>
      <c r="CG456" s="19"/>
      <c r="CH456" s="19"/>
      <c r="CI456" s="20"/>
      <c r="CJ456" s="20"/>
      <c r="CN456" s="18"/>
      <c r="CO456" s="19"/>
      <c r="CP456" s="19"/>
      <c r="CQ456" s="19"/>
      <c r="CR456" s="19"/>
      <c r="CS456" s="19"/>
      <c r="CT456" s="19"/>
      <c r="CU456" s="20"/>
      <c r="CV456" s="20"/>
      <c r="DA456" s="18">
        <f t="shared" si="85"/>
        <v>0</v>
      </c>
      <c r="DB456" s="19">
        <f t="shared" si="86"/>
        <v>0</v>
      </c>
      <c r="DC456" s="19">
        <f t="shared" si="87"/>
        <v>0</v>
      </c>
      <c r="DD456" s="19">
        <f t="shared" si="88"/>
        <v>0</v>
      </c>
      <c r="DE456" s="19">
        <f t="shared" si="89"/>
        <v>0</v>
      </c>
      <c r="DF456" s="19">
        <f t="shared" si="90"/>
        <v>0</v>
      </c>
      <c r="DG456" s="19">
        <f t="shared" si="91"/>
        <v>0</v>
      </c>
      <c r="DH456" s="20">
        <f t="shared" si="92"/>
        <v>0</v>
      </c>
      <c r="DI456" s="20">
        <f t="shared" si="93"/>
        <v>0</v>
      </c>
      <c r="DJ456" s="2"/>
    </row>
    <row r="457" spans="80:114" x14ac:dyDescent="0.3">
      <c r="CB457" s="18"/>
      <c r="CC457" s="19"/>
      <c r="CD457" s="19"/>
      <c r="CE457" s="19"/>
      <c r="CF457" s="19"/>
      <c r="CG457" s="19"/>
      <c r="CH457" s="19"/>
      <c r="CI457" s="20"/>
      <c r="CJ457" s="20"/>
      <c r="CN457" s="18"/>
      <c r="CO457" s="19"/>
      <c r="CP457" s="19"/>
      <c r="CQ457" s="19"/>
      <c r="CR457" s="19"/>
      <c r="CS457" s="19"/>
      <c r="CT457" s="19"/>
      <c r="CU457" s="20"/>
      <c r="CV457" s="20"/>
      <c r="DA457" s="18">
        <f t="shared" si="85"/>
        <v>0</v>
      </c>
      <c r="DB457" s="19">
        <f t="shared" si="86"/>
        <v>0</v>
      </c>
      <c r="DC457" s="19">
        <f t="shared" si="87"/>
        <v>0</v>
      </c>
      <c r="DD457" s="19">
        <f t="shared" si="88"/>
        <v>0</v>
      </c>
      <c r="DE457" s="19">
        <f t="shared" si="89"/>
        <v>0</v>
      </c>
      <c r="DF457" s="19">
        <f t="shared" si="90"/>
        <v>0</v>
      </c>
      <c r="DG457" s="19">
        <f t="shared" si="91"/>
        <v>0</v>
      </c>
      <c r="DH457" s="20">
        <f t="shared" si="92"/>
        <v>0</v>
      </c>
      <c r="DI457" s="20">
        <f t="shared" si="93"/>
        <v>0</v>
      </c>
      <c r="DJ457" s="2"/>
    </row>
    <row r="458" spans="80:114" x14ac:dyDescent="0.3">
      <c r="CB458" s="18"/>
      <c r="CC458" s="19"/>
      <c r="CD458" s="19"/>
      <c r="CE458" s="19"/>
      <c r="CF458" s="19"/>
      <c r="CG458" s="19"/>
      <c r="CH458" s="19"/>
      <c r="CI458" s="20"/>
      <c r="CJ458" s="20"/>
      <c r="CN458" s="18"/>
      <c r="CO458" s="19"/>
      <c r="CP458" s="19"/>
      <c r="CQ458" s="19"/>
      <c r="CR458" s="19"/>
      <c r="CS458" s="19"/>
      <c r="CT458" s="19"/>
      <c r="CU458" s="20"/>
      <c r="CV458" s="20"/>
      <c r="DA458" s="18">
        <f t="shared" si="85"/>
        <v>0</v>
      </c>
      <c r="DB458" s="19">
        <f t="shared" si="86"/>
        <v>0</v>
      </c>
      <c r="DC458" s="19">
        <f t="shared" si="87"/>
        <v>0</v>
      </c>
      <c r="DD458" s="19">
        <f t="shared" si="88"/>
        <v>0</v>
      </c>
      <c r="DE458" s="19">
        <f t="shared" si="89"/>
        <v>0</v>
      </c>
      <c r="DF458" s="19">
        <f t="shared" si="90"/>
        <v>0</v>
      </c>
      <c r="DG458" s="19">
        <f t="shared" si="91"/>
        <v>0</v>
      </c>
      <c r="DH458" s="20">
        <f t="shared" si="92"/>
        <v>0</v>
      </c>
      <c r="DI458" s="20">
        <f t="shared" si="93"/>
        <v>0</v>
      </c>
      <c r="DJ458" s="2"/>
    </row>
    <row r="459" spans="80:114" x14ac:dyDescent="0.3">
      <c r="CB459" s="18"/>
      <c r="CC459" s="19"/>
      <c r="CD459" s="19"/>
      <c r="CE459" s="19"/>
      <c r="CF459" s="19"/>
      <c r="CG459" s="19"/>
      <c r="CH459" s="19"/>
      <c r="CI459" s="20"/>
      <c r="CJ459" s="20"/>
      <c r="CN459" s="18"/>
      <c r="CO459" s="19"/>
      <c r="CP459" s="19"/>
      <c r="CQ459" s="19"/>
      <c r="CR459" s="19"/>
      <c r="CS459" s="19"/>
      <c r="CT459" s="19"/>
      <c r="CU459" s="20"/>
      <c r="CV459" s="20"/>
      <c r="DA459" s="18">
        <f t="shared" si="85"/>
        <v>0</v>
      </c>
      <c r="DB459" s="19">
        <f t="shared" si="86"/>
        <v>0</v>
      </c>
      <c r="DC459" s="19">
        <f t="shared" si="87"/>
        <v>0</v>
      </c>
      <c r="DD459" s="19">
        <f t="shared" si="88"/>
        <v>0</v>
      </c>
      <c r="DE459" s="19">
        <f t="shared" si="89"/>
        <v>0</v>
      </c>
      <c r="DF459" s="19">
        <f t="shared" si="90"/>
        <v>0</v>
      </c>
      <c r="DG459" s="19">
        <f t="shared" si="91"/>
        <v>0</v>
      </c>
      <c r="DH459" s="20">
        <f t="shared" si="92"/>
        <v>0</v>
      </c>
      <c r="DI459" s="20">
        <f t="shared" si="93"/>
        <v>0</v>
      </c>
      <c r="DJ459" s="2"/>
    </row>
    <row r="460" spans="80:114" x14ac:dyDescent="0.3">
      <c r="CB460" s="18"/>
      <c r="CC460" s="19"/>
      <c r="CD460" s="19"/>
      <c r="CE460" s="19"/>
      <c r="CF460" s="19"/>
      <c r="CG460" s="19"/>
      <c r="CH460" s="19"/>
      <c r="CI460" s="20"/>
      <c r="CJ460" s="20"/>
      <c r="CN460" s="18"/>
      <c r="CO460" s="19"/>
      <c r="CP460" s="19"/>
      <c r="CQ460" s="19"/>
      <c r="CR460" s="19"/>
      <c r="CS460" s="19"/>
      <c r="CT460" s="19"/>
      <c r="CU460" s="20"/>
      <c r="CV460" s="20"/>
      <c r="DA460" s="18">
        <f t="shared" si="85"/>
        <v>0</v>
      </c>
      <c r="DB460" s="19">
        <f t="shared" si="86"/>
        <v>0</v>
      </c>
      <c r="DC460" s="19">
        <f t="shared" si="87"/>
        <v>0</v>
      </c>
      <c r="DD460" s="19">
        <f t="shared" si="88"/>
        <v>0</v>
      </c>
      <c r="DE460" s="19">
        <f t="shared" si="89"/>
        <v>0</v>
      </c>
      <c r="DF460" s="19">
        <f t="shared" si="90"/>
        <v>0</v>
      </c>
      <c r="DG460" s="19">
        <f t="shared" si="91"/>
        <v>0</v>
      </c>
      <c r="DH460" s="20">
        <f t="shared" si="92"/>
        <v>0</v>
      </c>
      <c r="DI460" s="20">
        <f t="shared" si="93"/>
        <v>0</v>
      </c>
      <c r="DJ460" s="2"/>
    </row>
    <row r="461" spans="80:114" x14ac:dyDescent="0.3">
      <c r="CB461" s="18"/>
      <c r="CC461" s="19"/>
      <c r="CD461" s="19"/>
      <c r="CE461" s="19"/>
      <c r="CF461" s="19"/>
      <c r="CG461" s="19"/>
      <c r="CH461" s="19"/>
      <c r="CI461" s="20"/>
      <c r="CJ461" s="20"/>
      <c r="CN461" s="18"/>
      <c r="CO461" s="19"/>
      <c r="CP461" s="19"/>
      <c r="CQ461" s="19"/>
      <c r="CR461" s="19"/>
      <c r="CS461" s="19"/>
      <c r="CT461" s="19"/>
      <c r="CU461" s="20"/>
      <c r="CV461" s="20"/>
      <c r="DA461" s="18">
        <f t="shared" si="85"/>
        <v>0</v>
      </c>
      <c r="DB461" s="19">
        <f t="shared" si="86"/>
        <v>0</v>
      </c>
      <c r="DC461" s="19">
        <f t="shared" si="87"/>
        <v>0</v>
      </c>
      <c r="DD461" s="19">
        <f t="shared" si="88"/>
        <v>0</v>
      </c>
      <c r="DE461" s="19">
        <f t="shared" si="89"/>
        <v>0</v>
      </c>
      <c r="DF461" s="19">
        <f t="shared" si="90"/>
        <v>0</v>
      </c>
      <c r="DG461" s="19">
        <f t="shared" si="91"/>
        <v>0</v>
      </c>
      <c r="DH461" s="20">
        <f t="shared" si="92"/>
        <v>0</v>
      </c>
      <c r="DI461" s="20">
        <f t="shared" si="93"/>
        <v>0</v>
      </c>
      <c r="DJ461" s="2"/>
    </row>
    <row r="462" spans="80:114" x14ac:dyDescent="0.3">
      <c r="CB462" s="18"/>
      <c r="CC462" s="19"/>
      <c r="CD462" s="19"/>
      <c r="CE462" s="19"/>
      <c r="CF462" s="19"/>
      <c r="CG462" s="19"/>
      <c r="CH462" s="19"/>
      <c r="CI462" s="20"/>
      <c r="CJ462" s="20"/>
      <c r="CN462" s="18"/>
      <c r="CO462" s="19"/>
      <c r="CP462" s="19"/>
      <c r="CQ462" s="19"/>
      <c r="CR462" s="19"/>
      <c r="CS462" s="19"/>
      <c r="CT462" s="19"/>
      <c r="CU462" s="20"/>
      <c r="CV462" s="20"/>
      <c r="DA462" s="18">
        <f t="shared" si="85"/>
        <v>0</v>
      </c>
      <c r="DB462" s="19">
        <f t="shared" si="86"/>
        <v>0</v>
      </c>
      <c r="DC462" s="19">
        <f t="shared" si="87"/>
        <v>0</v>
      </c>
      <c r="DD462" s="19">
        <f t="shared" si="88"/>
        <v>0</v>
      </c>
      <c r="DE462" s="19">
        <f t="shared" si="89"/>
        <v>0</v>
      </c>
      <c r="DF462" s="19">
        <f t="shared" si="90"/>
        <v>0</v>
      </c>
      <c r="DG462" s="19">
        <f t="shared" si="91"/>
        <v>0</v>
      </c>
      <c r="DH462" s="20">
        <f t="shared" si="92"/>
        <v>0</v>
      </c>
      <c r="DI462" s="20">
        <f t="shared" si="93"/>
        <v>0</v>
      </c>
      <c r="DJ462" s="2"/>
    </row>
    <row r="463" spans="80:114" x14ac:dyDescent="0.3">
      <c r="CB463" s="18"/>
      <c r="CC463" s="19"/>
      <c r="CD463" s="19"/>
      <c r="CE463" s="19"/>
      <c r="CF463" s="19"/>
      <c r="CG463" s="19"/>
      <c r="CH463" s="19"/>
      <c r="CI463" s="20"/>
      <c r="CJ463" s="20"/>
      <c r="CN463" s="18"/>
      <c r="CO463" s="19"/>
      <c r="CP463" s="19"/>
      <c r="CQ463" s="19"/>
      <c r="CR463" s="19"/>
      <c r="CS463" s="19"/>
      <c r="CT463" s="19"/>
      <c r="CU463" s="20"/>
      <c r="CV463" s="20"/>
      <c r="DA463" s="18">
        <f t="shared" si="85"/>
        <v>0</v>
      </c>
      <c r="DB463" s="19">
        <f t="shared" si="86"/>
        <v>0</v>
      </c>
      <c r="DC463" s="19">
        <f t="shared" si="87"/>
        <v>0</v>
      </c>
      <c r="DD463" s="19">
        <f t="shared" si="88"/>
        <v>0</v>
      </c>
      <c r="DE463" s="19">
        <f t="shared" si="89"/>
        <v>0</v>
      </c>
      <c r="DF463" s="19">
        <f t="shared" si="90"/>
        <v>0</v>
      </c>
      <c r="DG463" s="19">
        <f t="shared" si="91"/>
        <v>0</v>
      </c>
      <c r="DH463" s="20">
        <f t="shared" si="92"/>
        <v>0</v>
      </c>
      <c r="DI463" s="20">
        <f t="shared" si="93"/>
        <v>0</v>
      </c>
      <c r="DJ463" s="2"/>
    </row>
    <row r="464" spans="80:114" x14ac:dyDescent="0.3">
      <c r="CB464" s="18"/>
      <c r="CC464" s="19"/>
      <c r="CD464" s="19"/>
      <c r="CE464" s="19"/>
      <c r="CF464" s="19"/>
      <c r="CG464" s="19"/>
      <c r="CH464" s="19"/>
      <c r="CI464" s="20"/>
      <c r="CJ464" s="20"/>
      <c r="CN464" s="18"/>
      <c r="CO464" s="19"/>
      <c r="CP464" s="19"/>
      <c r="CQ464" s="19"/>
      <c r="CR464" s="19"/>
      <c r="CS464" s="19"/>
      <c r="CT464" s="19"/>
      <c r="CU464" s="20"/>
      <c r="CV464" s="20"/>
      <c r="DA464" s="18">
        <f t="shared" si="85"/>
        <v>0</v>
      </c>
      <c r="DB464" s="19">
        <f t="shared" si="86"/>
        <v>0</v>
      </c>
      <c r="DC464" s="19">
        <f t="shared" si="87"/>
        <v>0</v>
      </c>
      <c r="DD464" s="19">
        <f t="shared" si="88"/>
        <v>0</v>
      </c>
      <c r="DE464" s="19">
        <f t="shared" si="89"/>
        <v>0</v>
      </c>
      <c r="DF464" s="19">
        <f t="shared" si="90"/>
        <v>0</v>
      </c>
      <c r="DG464" s="19">
        <f t="shared" si="91"/>
        <v>0</v>
      </c>
      <c r="DH464" s="20">
        <f t="shared" si="92"/>
        <v>0</v>
      </c>
      <c r="DI464" s="20">
        <f t="shared" si="93"/>
        <v>0</v>
      </c>
      <c r="DJ464" s="2"/>
    </row>
    <row r="465" spans="80:114" x14ac:dyDescent="0.3">
      <c r="CB465" s="18"/>
      <c r="CC465" s="19"/>
      <c r="CD465" s="19"/>
      <c r="CE465" s="19"/>
      <c r="CF465" s="19"/>
      <c r="CG465" s="19"/>
      <c r="CH465" s="19"/>
      <c r="CI465" s="20"/>
      <c r="CJ465" s="20"/>
      <c r="CN465" s="18"/>
      <c r="CO465" s="19"/>
      <c r="CP465" s="19"/>
      <c r="CQ465" s="19"/>
      <c r="CR465" s="19"/>
      <c r="CS465" s="19"/>
      <c r="CT465" s="19"/>
      <c r="CU465" s="20"/>
      <c r="CV465" s="20"/>
      <c r="DA465" s="18">
        <f t="shared" si="85"/>
        <v>0</v>
      </c>
      <c r="DB465" s="19">
        <f t="shared" si="86"/>
        <v>0</v>
      </c>
      <c r="DC465" s="19">
        <f t="shared" si="87"/>
        <v>0</v>
      </c>
      <c r="DD465" s="19">
        <f t="shared" si="88"/>
        <v>0</v>
      </c>
      <c r="DE465" s="19">
        <f t="shared" si="89"/>
        <v>0</v>
      </c>
      <c r="DF465" s="19">
        <f t="shared" si="90"/>
        <v>0</v>
      </c>
      <c r="DG465" s="19">
        <f t="shared" si="91"/>
        <v>0</v>
      </c>
      <c r="DH465" s="20">
        <f t="shared" si="92"/>
        <v>0</v>
      </c>
      <c r="DI465" s="20">
        <f t="shared" si="93"/>
        <v>0</v>
      </c>
      <c r="DJ465" s="2"/>
    </row>
    <row r="466" spans="80:114" x14ac:dyDescent="0.3">
      <c r="CB466" s="18"/>
      <c r="CC466" s="19"/>
      <c r="CD466" s="19"/>
      <c r="CE466" s="19"/>
      <c r="CF466" s="19"/>
      <c r="CG466" s="19"/>
      <c r="CH466" s="19"/>
      <c r="CI466" s="20"/>
      <c r="CJ466" s="20"/>
      <c r="CN466" s="18"/>
      <c r="CO466" s="19"/>
      <c r="CP466" s="19"/>
      <c r="CQ466" s="19"/>
      <c r="CR466" s="19"/>
      <c r="CS466" s="19"/>
      <c r="CT466" s="19"/>
      <c r="CU466" s="20"/>
      <c r="CV466" s="20"/>
      <c r="DA466" s="18">
        <f t="shared" si="85"/>
        <v>0</v>
      </c>
      <c r="DB466" s="19">
        <f t="shared" si="86"/>
        <v>0</v>
      </c>
      <c r="DC466" s="19">
        <f t="shared" si="87"/>
        <v>0</v>
      </c>
      <c r="DD466" s="19">
        <f t="shared" si="88"/>
        <v>0</v>
      </c>
      <c r="DE466" s="19">
        <f t="shared" si="89"/>
        <v>0</v>
      </c>
      <c r="DF466" s="19">
        <f t="shared" si="90"/>
        <v>0</v>
      </c>
      <c r="DG466" s="19">
        <f t="shared" si="91"/>
        <v>0</v>
      </c>
      <c r="DH466" s="20">
        <f t="shared" si="92"/>
        <v>0</v>
      </c>
      <c r="DI466" s="20">
        <f t="shared" si="93"/>
        <v>0</v>
      </c>
      <c r="DJ466" s="2"/>
    </row>
    <row r="467" spans="80:114" x14ac:dyDescent="0.3">
      <c r="CB467" s="18"/>
      <c r="CC467" s="19"/>
      <c r="CD467" s="19"/>
      <c r="CE467" s="19"/>
      <c r="CF467" s="19"/>
      <c r="CG467" s="19"/>
      <c r="CH467" s="19"/>
      <c r="CI467" s="20"/>
      <c r="CJ467" s="20"/>
      <c r="CN467" s="18"/>
      <c r="CO467" s="19"/>
      <c r="CP467" s="19"/>
      <c r="CQ467" s="19"/>
      <c r="CR467" s="19"/>
      <c r="CS467" s="19"/>
      <c r="CT467" s="19"/>
      <c r="CU467" s="20"/>
      <c r="CV467" s="20"/>
      <c r="DA467" s="18">
        <f t="shared" si="85"/>
        <v>0</v>
      </c>
      <c r="DB467" s="19">
        <f t="shared" si="86"/>
        <v>0</v>
      </c>
      <c r="DC467" s="19">
        <f t="shared" si="87"/>
        <v>0</v>
      </c>
      <c r="DD467" s="19">
        <f t="shared" si="88"/>
        <v>0</v>
      </c>
      <c r="DE467" s="19">
        <f t="shared" si="89"/>
        <v>0</v>
      </c>
      <c r="DF467" s="19">
        <f t="shared" si="90"/>
        <v>0</v>
      </c>
      <c r="DG467" s="19">
        <f t="shared" si="91"/>
        <v>0</v>
      </c>
      <c r="DH467" s="20">
        <f t="shared" si="92"/>
        <v>0</v>
      </c>
      <c r="DI467" s="20">
        <f t="shared" si="93"/>
        <v>0</v>
      </c>
      <c r="DJ467" s="2"/>
    </row>
    <row r="468" spans="80:114" x14ac:dyDescent="0.3">
      <c r="CB468" s="18"/>
      <c r="CC468" s="19"/>
      <c r="CD468" s="19"/>
      <c r="CE468" s="19"/>
      <c r="CF468" s="19"/>
      <c r="CG468" s="19"/>
      <c r="CH468" s="19"/>
      <c r="CI468" s="20"/>
      <c r="CJ468" s="20"/>
      <c r="CN468" s="18"/>
      <c r="CO468" s="19"/>
      <c r="CP468" s="19"/>
      <c r="CQ468" s="19"/>
      <c r="CR468" s="19"/>
      <c r="CS468" s="19"/>
      <c r="CT468" s="19"/>
      <c r="CU468" s="20"/>
      <c r="CV468" s="20"/>
      <c r="DA468" s="18">
        <f t="shared" si="85"/>
        <v>0</v>
      </c>
      <c r="DB468" s="19">
        <f t="shared" si="86"/>
        <v>0</v>
      </c>
      <c r="DC468" s="19">
        <f t="shared" si="87"/>
        <v>0</v>
      </c>
      <c r="DD468" s="19">
        <f t="shared" si="88"/>
        <v>0</v>
      </c>
      <c r="DE468" s="19">
        <f t="shared" si="89"/>
        <v>0</v>
      </c>
      <c r="DF468" s="19">
        <f t="shared" si="90"/>
        <v>0</v>
      </c>
      <c r="DG468" s="19">
        <f t="shared" si="91"/>
        <v>0</v>
      </c>
      <c r="DH468" s="20">
        <f t="shared" si="92"/>
        <v>0</v>
      </c>
      <c r="DI468" s="20">
        <f t="shared" si="93"/>
        <v>0</v>
      </c>
      <c r="DJ468" s="2"/>
    </row>
    <row r="469" spans="80:114" x14ac:dyDescent="0.3">
      <c r="CB469" s="18"/>
      <c r="CC469" s="19"/>
      <c r="CD469" s="19"/>
      <c r="CE469" s="19"/>
      <c r="CF469" s="19"/>
      <c r="CG469" s="19"/>
      <c r="CH469" s="19"/>
      <c r="CI469" s="20"/>
      <c r="CJ469" s="20"/>
      <c r="CN469" s="18"/>
      <c r="CO469" s="19"/>
      <c r="CP469" s="19"/>
      <c r="CQ469" s="19"/>
      <c r="CR469" s="19"/>
      <c r="CS469" s="19"/>
      <c r="CT469" s="19"/>
      <c r="CU469" s="20"/>
      <c r="CV469" s="20"/>
      <c r="DA469" s="18">
        <f t="shared" si="85"/>
        <v>0</v>
      </c>
      <c r="DB469" s="19">
        <f t="shared" si="86"/>
        <v>0</v>
      </c>
      <c r="DC469" s="19">
        <f t="shared" si="87"/>
        <v>0</v>
      </c>
      <c r="DD469" s="19">
        <f t="shared" si="88"/>
        <v>0</v>
      </c>
      <c r="DE469" s="19">
        <f t="shared" si="89"/>
        <v>0</v>
      </c>
      <c r="DF469" s="19">
        <f t="shared" si="90"/>
        <v>0</v>
      </c>
      <c r="DG469" s="19">
        <f t="shared" si="91"/>
        <v>0</v>
      </c>
      <c r="DH469" s="20">
        <f t="shared" si="92"/>
        <v>0</v>
      </c>
      <c r="DI469" s="20">
        <f t="shared" si="93"/>
        <v>0</v>
      </c>
      <c r="DJ469" s="2"/>
    </row>
    <row r="470" spans="80:114" x14ac:dyDescent="0.3">
      <c r="CB470" s="18"/>
      <c r="CC470" s="19"/>
      <c r="CD470" s="19"/>
      <c r="CE470" s="19"/>
      <c r="CF470" s="19"/>
      <c r="CG470" s="19"/>
      <c r="CH470" s="19"/>
      <c r="CI470" s="20"/>
      <c r="CJ470" s="20"/>
      <c r="CN470" s="18"/>
      <c r="CO470" s="19"/>
      <c r="CP470" s="19"/>
      <c r="CQ470" s="19"/>
      <c r="CR470" s="19"/>
      <c r="CS470" s="19"/>
      <c r="CT470" s="19"/>
      <c r="CU470" s="20"/>
      <c r="CV470" s="20"/>
      <c r="DA470" s="18">
        <f t="shared" si="85"/>
        <v>0</v>
      </c>
      <c r="DB470" s="19">
        <f t="shared" si="86"/>
        <v>0</v>
      </c>
      <c r="DC470" s="19">
        <f t="shared" si="87"/>
        <v>0</v>
      </c>
      <c r="DD470" s="19">
        <f t="shared" si="88"/>
        <v>0</v>
      </c>
      <c r="DE470" s="19">
        <f t="shared" si="89"/>
        <v>0</v>
      </c>
      <c r="DF470" s="19">
        <f t="shared" si="90"/>
        <v>0</v>
      </c>
      <c r="DG470" s="19">
        <f t="shared" si="91"/>
        <v>0</v>
      </c>
      <c r="DH470" s="20">
        <f t="shared" si="92"/>
        <v>0</v>
      </c>
      <c r="DI470" s="20">
        <f t="shared" si="93"/>
        <v>0</v>
      </c>
      <c r="DJ470" s="2"/>
    </row>
    <row r="471" spans="80:114" x14ac:dyDescent="0.3">
      <c r="CB471" s="18"/>
      <c r="CC471" s="19"/>
      <c r="CD471" s="19"/>
      <c r="CE471" s="19"/>
      <c r="CF471" s="19"/>
      <c r="CG471" s="19"/>
      <c r="CH471" s="19"/>
      <c r="CI471" s="20"/>
      <c r="CJ471" s="20"/>
      <c r="CN471" s="18"/>
      <c r="CO471" s="19"/>
      <c r="CP471" s="19"/>
      <c r="CQ471" s="19"/>
      <c r="CR471" s="19"/>
      <c r="CS471" s="19"/>
      <c r="CT471" s="19"/>
      <c r="CU471" s="20"/>
      <c r="CV471" s="20"/>
      <c r="DA471" s="18">
        <f t="shared" si="85"/>
        <v>0</v>
      </c>
      <c r="DB471" s="19">
        <f t="shared" si="86"/>
        <v>0</v>
      </c>
      <c r="DC471" s="19">
        <f t="shared" si="87"/>
        <v>0</v>
      </c>
      <c r="DD471" s="19">
        <f t="shared" si="88"/>
        <v>0</v>
      </c>
      <c r="DE471" s="19">
        <f t="shared" si="89"/>
        <v>0</v>
      </c>
      <c r="DF471" s="19">
        <f t="shared" si="90"/>
        <v>0</v>
      </c>
      <c r="DG471" s="19">
        <f t="shared" si="91"/>
        <v>0</v>
      </c>
      <c r="DH471" s="20">
        <f t="shared" si="92"/>
        <v>0</v>
      </c>
      <c r="DI471" s="20">
        <f t="shared" si="93"/>
        <v>0</v>
      </c>
      <c r="DJ471" s="2"/>
    </row>
    <row r="472" spans="80:114" x14ac:dyDescent="0.3">
      <c r="CB472" s="18"/>
      <c r="CC472" s="19"/>
      <c r="CD472" s="19"/>
      <c r="CE472" s="19"/>
      <c r="CF472" s="19"/>
      <c r="CG472" s="19"/>
      <c r="CH472" s="19"/>
      <c r="CI472" s="20"/>
      <c r="CJ472" s="20"/>
      <c r="CN472" s="18"/>
      <c r="CO472" s="19"/>
      <c r="CP472" s="19"/>
      <c r="CQ472" s="19"/>
      <c r="CR472" s="19"/>
      <c r="CS472" s="19"/>
      <c r="CT472" s="19"/>
      <c r="CU472" s="20"/>
      <c r="CV472" s="20"/>
      <c r="DA472" s="18">
        <f t="shared" si="85"/>
        <v>0</v>
      </c>
      <c r="DB472" s="19">
        <f t="shared" si="86"/>
        <v>0</v>
      </c>
      <c r="DC472" s="19">
        <f t="shared" si="87"/>
        <v>0</v>
      </c>
      <c r="DD472" s="19">
        <f t="shared" si="88"/>
        <v>0</v>
      </c>
      <c r="DE472" s="19">
        <f t="shared" si="89"/>
        <v>0</v>
      </c>
      <c r="DF472" s="19">
        <f t="shared" si="90"/>
        <v>0</v>
      </c>
      <c r="DG472" s="19">
        <f t="shared" si="91"/>
        <v>0</v>
      </c>
      <c r="DH472" s="20">
        <f t="shared" si="92"/>
        <v>0</v>
      </c>
      <c r="DI472" s="20">
        <f t="shared" si="93"/>
        <v>0</v>
      </c>
      <c r="DJ472" s="2"/>
    </row>
    <row r="473" spans="80:114" x14ac:dyDescent="0.3">
      <c r="CB473" s="18"/>
      <c r="CC473" s="19"/>
      <c r="CD473" s="19"/>
      <c r="CE473" s="19"/>
      <c r="CF473" s="19"/>
      <c r="CG473" s="19"/>
      <c r="CH473" s="19"/>
      <c r="CI473" s="20"/>
      <c r="CJ473" s="20"/>
      <c r="CN473" s="18"/>
      <c r="CO473" s="19"/>
      <c r="CP473" s="19"/>
      <c r="CQ473" s="19"/>
      <c r="CR473" s="19"/>
      <c r="CS473" s="19"/>
      <c r="CT473" s="19"/>
      <c r="CU473" s="20"/>
      <c r="CV473" s="20"/>
      <c r="DA473" s="18">
        <f t="shared" si="85"/>
        <v>0</v>
      </c>
      <c r="DB473" s="19">
        <f t="shared" si="86"/>
        <v>0</v>
      </c>
      <c r="DC473" s="19">
        <f t="shared" si="87"/>
        <v>0</v>
      </c>
      <c r="DD473" s="19">
        <f t="shared" si="88"/>
        <v>0</v>
      </c>
      <c r="DE473" s="19">
        <f t="shared" si="89"/>
        <v>0</v>
      </c>
      <c r="DF473" s="19">
        <f t="shared" si="90"/>
        <v>0</v>
      </c>
      <c r="DG473" s="19">
        <f t="shared" si="91"/>
        <v>0</v>
      </c>
      <c r="DH473" s="20">
        <f t="shared" si="92"/>
        <v>0</v>
      </c>
      <c r="DI473" s="20">
        <f t="shared" si="93"/>
        <v>0</v>
      </c>
      <c r="DJ473" s="2"/>
    </row>
    <row r="474" spans="80:114" x14ac:dyDescent="0.3">
      <c r="CB474" s="18"/>
      <c r="CC474" s="19"/>
      <c r="CD474" s="19"/>
      <c r="CE474" s="19"/>
      <c r="CF474" s="19"/>
      <c r="CG474" s="19"/>
      <c r="CH474" s="19"/>
      <c r="CI474" s="20"/>
      <c r="CJ474" s="20"/>
      <c r="CN474" s="18"/>
      <c r="CO474" s="19"/>
      <c r="CP474" s="19"/>
      <c r="CQ474" s="19"/>
      <c r="CR474" s="19"/>
      <c r="CS474" s="19"/>
      <c r="CT474" s="19"/>
      <c r="CU474" s="20"/>
      <c r="CV474" s="20"/>
      <c r="DA474" s="18">
        <f t="shared" si="85"/>
        <v>0</v>
      </c>
      <c r="DB474" s="19">
        <f t="shared" si="86"/>
        <v>0</v>
      </c>
      <c r="DC474" s="19">
        <f t="shared" si="87"/>
        <v>0</v>
      </c>
      <c r="DD474" s="19">
        <f t="shared" si="88"/>
        <v>0</v>
      </c>
      <c r="DE474" s="19">
        <f t="shared" si="89"/>
        <v>0</v>
      </c>
      <c r="DF474" s="19">
        <f t="shared" si="90"/>
        <v>0</v>
      </c>
      <c r="DG474" s="19">
        <f t="shared" si="91"/>
        <v>0</v>
      </c>
      <c r="DH474" s="20">
        <f t="shared" si="92"/>
        <v>0</v>
      </c>
      <c r="DI474" s="20">
        <f t="shared" si="93"/>
        <v>0</v>
      </c>
      <c r="DJ474" s="2"/>
    </row>
    <row r="475" spans="80:114" x14ac:dyDescent="0.3">
      <c r="CB475" s="18"/>
      <c r="CC475" s="19"/>
      <c r="CD475" s="19"/>
      <c r="CE475" s="19"/>
      <c r="CF475" s="19"/>
      <c r="CG475" s="19"/>
      <c r="CH475" s="19"/>
      <c r="CI475" s="20"/>
      <c r="CJ475" s="20"/>
      <c r="CN475" s="18"/>
      <c r="CO475" s="19"/>
      <c r="CP475" s="19"/>
      <c r="CQ475" s="19"/>
      <c r="CR475" s="19"/>
      <c r="CS475" s="19"/>
      <c r="CT475" s="19"/>
      <c r="CU475" s="20"/>
      <c r="CV475" s="20"/>
      <c r="DA475" s="18">
        <f t="shared" si="85"/>
        <v>0</v>
      </c>
      <c r="DB475" s="19">
        <f t="shared" si="86"/>
        <v>0</v>
      </c>
      <c r="DC475" s="19">
        <f t="shared" si="87"/>
        <v>0</v>
      </c>
      <c r="DD475" s="19">
        <f t="shared" si="88"/>
        <v>0</v>
      </c>
      <c r="DE475" s="19">
        <f t="shared" si="89"/>
        <v>0</v>
      </c>
      <c r="DF475" s="19">
        <f t="shared" si="90"/>
        <v>0</v>
      </c>
      <c r="DG475" s="19">
        <f t="shared" si="91"/>
        <v>0</v>
      </c>
      <c r="DH475" s="20">
        <f t="shared" si="92"/>
        <v>0</v>
      </c>
      <c r="DI475" s="20">
        <f t="shared" si="93"/>
        <v>0</v>
      </c>
      <c r="DJ475" s="2"/>
    </row>
    <row r="476" spans="80:114" x14ac:dyDescent="0.3">
      <c r="CB476" s="18"/>
      <c r="CC476" s="19"/>
      <c r="CD476" s="19"/>
      <c r="CE476" s="19"/>
      <c r="CF476" s="19"/>
      <c r="CG476" s="19"/>
      <c r="CH476" s="19"/>
      <c r="CI476" s="20"/>
      <c r="CJ476" s="20"/>
      <c r="CN476" s="18"/>
      <c r="CO476" s="19"/>
      <c r="CP476" s="19"/>
      <c r="CQ476" s="19"/>
      <c r="CR476" s="19"/>
      <c r="CS476" s="19"/>
      <c r="CT476" s="19"/>
      <c r="CU476" s="20"/>
      <c r="CV476" s="20"/>
      <c r="DA476" s="18">
        <f t="shared" si="85"/>
        <v>0</v>
      </c>
      <c r="DB476" s="19">
        <f t="shared" si="86"/>
        <v>0</v>
      </c>
      <c r="DC476" s="19">
        <f t="shared" si="87"/>
        <v>0</v>
      </c>
      <c r="DD476" s="19">
        <f t="shared" si="88"/>
        <v>0</v>
      </c>
      <c r="DE476" s="19">
        <f t="shared" si="89"/>
        <v>0</v>
      </c>
      <c r="DF476" s="19">
        <f t="shared" si="90"/>
        <v>0</v>
      </c>
      <c r="DG476" s="19">
        <f t="shared" si="91"/>
        <v>0</v>
      </c>
      <c r="DH476" s="20">
        <f t="shared" si="92"/>
        <v>0</v>
      </c>
      <c r="DI476" s="20">
        <f t="shared" si="93"/>
        <v>0</v>
      </c>
      <c r="DJ476" s="2"/>
    </row>
    <row r="477" spans="80:114" x14ac:dyDescent="0.3">
      <c r="CB477" s="18"/>
      <c r="CC477" s="19"/>
      <c r="CD477" s="19"/>
      <c r="CE477" s="19"/>
      <c r="CF477" s="19"/>
      <c r="CG477" s="19"/>
      <c r="CH477" s="19"/>
      <c r="CI477" s="20"/>
      <c r="CJ477" s="20"/>
      <c r="CN477" s="18"/>
      <c r="CO477" s="19"/>
      <c r="CP477" s="19"/>
      <c r="CQ477" s="19"/>
      <c r="CR477" s="19"/>
      <c r="CS477" s="19"/>
      <c r="CT477" s="19"/>
      <c r="CU477" s="20"/>
      <c r="CV477" s="20"/>
      <c r="DA477" s="18">
        <f t="shared" si="85"/>
        <v>0</v>
      </c>
      <c r="DB477" s="19">
        <f t="shared" si="86"/>
        <v>0</v>
      </c>
      <c r="DC477" s="19">
        <f t="shared" si="87"/>
        <v>0</v>
      </c>
      <c r="DD477" s="19">
        <f t="shared" si="88"/>
        <v>0</v>
      </c>
      <c r="DE477" s="19">
        <f t="shared" si="89"/>
        <v>0</v>
      </c>
      <c r="DF477" s="19">
        <f t="shared" si="90"/>
        <v>0</v>
      </c>
      <c r="DG477" s="19">
        <f t="shared" si="91"/>
        <v>0</v>
      </c>
      <c r="DH477" s="20">
        <f t="shared" si="92"/>
        <v>0</v>
      </c>
      <c r="DI477" s="20">
        <f t="shared" si="93"/>
        <v>0</v>
      </c>
      <c r="DJ477" s="2"/>
    </row>
    <row r="478" spans="80:114" x14ac:dyDescent="0.3">
      <c r="CB478" s="18"/>
      <c r="CC478" s="19"/>
      <c r="CD478" s="19"/>
      <c r="CE478" s="19"/>
      <c r="CF478" s="19"/>
      <c r="CG478" s="19"/>
      <c r="CH478" s="19"/>
      <c r="CI478" s="20"/>
      <c r="CJ478" s="20"/>
      <c r="CN478" s="18"/>
      <c r="CO478" s="19"/>
      <c r="CP478" s="19"/>
      <c r="CQ478" s="19"/>
      <c r="CR478" s="19"/>
      <c r="CS478" s="19"/>
      <c r="CT478" s="19"/>
      <c r="CU478" s="20"/>
      <c r="CV478" s="20"/>
      <c r="DA478" s="18">
        <f t="shared" si="85"/>
        <v>0</v>
      </c>
      <c r="DB478" s="19">
        <f t="shared" si="86"/>
        <v>0</v>
      </c>
      <c r="DC478" s="19">
        <f t="shared" si="87"/>
        <v>0</v>
      </c>
      <c r="DD478" s="19">
        <f t="shared" si="88"/>
        <v>0</v>
      </c>
      <c r="DE478" s="19">
        <f t="shared" si="89"/>
        <v>0</v>
      </c>
      <c r="DF478" s="19">
        <f t="shared" si="90"/>
        <v>0</v>
      </c>
      <c r="DG478" s="19">
        <f t="shared" si="91"/>
        <v>0</v>
      </c>
      <c r="DH478" s="20">
        <f t="shared" si="92"/>
        <v>0</v>
      </c>
      <c r="DI478" s="20">
        <f t="shared" si="93"/>
        <v>0</v>
      </c>
      <c r="DJ478" s="2"/>
    </row>
    <row r="479" spans="80:114" x14ac:dyDescent="0.3">
      <c r="CB479" s="18"/>
      <c r="CC479" s="19"/>
      <c r="CD479" s="19"/>
      <c r="CE479" s="19"/>
      <c r="CF479" s="19"/>
      <c r="CG479" s="19"/>
      <c r="CH479" s="19"/>
      <c r="CI479" s="20"/>
      <c r="CJ479" s="20"/>
      <c r="CN479" s="18"/>
      <c r="CO479" s="19"/>
      <c r="CP479" s="19"/>
      <c r="CQ479" s="19"/>
      <c r="CR479" s="19"/>
      <c r="CS479" s="19"/>
      <c r="CT479" s="19"/>
      <c r="CU479" s="20"/>
      <c r="CV479" s="20"/>
      <c r="DA479" s="18">
        <f t="shared" si="85"/>
        <v>0</v>
      </c>
      <c r="DB479" s="19">
        <f t="shared" si="86"/>
        <v>0</v>
      </c>
      <c r="DC479" s="19">
        <f t="shared" si="87"/>
        <v>0</v>
      </c>
      <c r="DD479" s="19">
        <f t="shared" si="88"/>
        <v>0</v>
      </c>
      <c r="DE479" s="19">
        <f t="shared" si="89"/>
        <v>0</v>
      </c>
      <c r="DF479" s="19">
        <f t="shared" si="90"/>
        <v>0</v>
      </c>
      <c r="DG479" s="19">
        <f t="shared" si="91"/>
        <v>0</v>
      </c>
      <c r="DH479" s="20">
        <f t="shared" si="92"/>
        <v>0</v>
      </c>
      <c r="DI479" s="20">
        <f t="shared" si="93"/>
        <v>0</v>
      </c>
      <c r="DJ479" s="2"/>
    </row>
    <row r="480" spans="80:114" x14ac:dyDescent="0.3">
      <c r="CB480" s="18"/>
      <c r="CC480" s="19"/>
      <c r="CD480" s="19"/>
      <c r="CE480" s="19"/>
      <c r="CF480" s="19"/>
      <c r="CG480" s="19"/>
      <c r="CH480" s="19"/>
      <c r="CI480" s="20"/>
      <c r="CJ480" s="20"/>
      <c r="CN480" s="18"/>
      <c r="CO480" s="19"/>
      <c r="CP480" s="19"/>
      <c r="CQ480" s="19"/>
      <c r="CR480" s="19"/>
      <c r="CS480" s="19"/>
      <c r="CT480" s="19"/>
      <c r="CU480" s="20"/>
      <c r="CV480" s="20"/>
      <c r="DA480" s="18">
        <f t="shared" si="85"/>
        <v>0</v>
      </c>
      <c r="DB480" s="19">
        <f t="shared" si="86"/>
        <v>0</v>
      </c>
      <c r="DC480" s="19">
        <f t="shared" si="87"/>
        <v>0</v>
      </c>
      <c r="DD480" s="19">
        <f t="shared" si="88"/>
        <v>0</v>
      </c>
      <c r="DE480" s="19">
        <f t="shared" si="89"/>
        <v>0</v>
      </c>
      <c r="DF480" s="19">
        <f t="shared" si="90"/>
        <v>0</v>
      </c>
      <c r="DG480" s="19">
        <f t="shared" si="91"/>
        <v>0</v>
      </c>
      <c r="DH480" s="20">
        <f t="shared" si="92"/>
        <v>0</v>
      </c>
      <c r="DI480" s="20">
        <f t="shared" si="93"/>
        <v>0</v>
      </c>
      <c r="DJ480" s="2"/>
    </row>
    <row r="481" spans="80:114" x14ac:dyDescent="0.3">
      <c r="CB481" s="18"/>
      <c r="CC481" s="19"/>
      <c r="CD481" s="19"/>
      <c r="CE481" s="19"/>
      <c r="CF481" s="19"/>
      <c r="CG481" s="19"/>
      <c r="CH481" s="19"/>
      <c r="CI481" s="20"/>
      <c r="CJ481" s="20"/>
      <c r="CN481" s="18"/>
      <c r="CO481" s="19"/>
      <c r="CP481" s="19"/>
      <c r="CQ481" s="19"/>
      <c r="CR481" s="19"/>
      <c r="CS481" s="19"/>
      <c r="CT481" s="19"/>
      <c r="CU481" s="20"/>
      <c r="CV481" s="20"/>
      <c r="DA481" s="18">
        <f t="shared" si="85"/>
        <v>0</v>
      </c>
      <c r="DB481" s="19">
        <f t="shared" si="86"/>
        <v>0</v>
      </c>
      <c r="DC481" s="19">
        <f t="shared" si="87"/>
        <v>0</v>
      </c>
      <c r="DD481" s="19">
        <f t="shared" si="88"/>
        <v>0</v>
      </c>
      <c r="DE481" s="19">
        <f t="shared" si="89"/>
        <v>0</v>
      </c>
      <c r="DF481" s="19">
        <f t="shared" si="90"/>
        <v>0</v>
      </c>
      <c r="DG481" s="19">
        <f t="shared" si="91"/>
        <v>0</v>
      </c>
      <c r="DH481" s="20">
        <f t="shared" si="92"/>
        <v>0</v>
      </c>
      <c r="DI481" s="20">
        <f t="shared" si="93"/>
        <v>0</v>
      </c>
      <c r="DJ481" s="2"/>
    </row>
    <row r="482" spans="80:114" x14ac:dyDescent="0.3">
      <c r="CB482" s="18"/>
      <c r="CC482" s="19"/>
      <c r="CD482" s="19"/>
      <c r="CE482" s="19"/>
      <c r="CF482" s="19"/>
      <c r="CG482" s="19"/>
      <c r="CH482" s="19"/>
      <c r="CI482" s="20"/>
      <c r="CJ482" s="20"/>
      <c r="CN482" s="18"/>
      <c r="CO482" s="19"/>
      <c r="CP482" s="19"/>
      <c r="CQ482" s="19"/>
      <c r="CR482" s="19"/>
      <c r="CS482" s="19"/>
      <c r="CT482" s="19"/>
      <c r="CU482" s="20"/>
      <c r="CV482" s="20"/>
      <c r="DA482" s="18">
        <f t="shared" si="85"/>
        <v>0</v>
      </c>
      <c r="DB482" s="19">
        <f t="shared" si="86"/>
        <v>0</v>
      </c>
      <c r="DC482" s="19">
        <f t="shared" si="87"/>
        <v>0</v>
      </c>
      <c r="DD482" s="19">
        <f t="shared" si="88"/>
        <v>0</v>
      </c>
      <c r="DE482" s="19">
        <f t="shared" si="89"/>
        <v>0</v>
      </c>
      <c r="DF482" s="19">
        <f t="shared" si="90"/>
        <v>0</v>
      </c>
      <c r="DG482" s="19">
        <f t="shared" si="91"/>
        <v>0</v>
      </c>
      <c r="DH482" s="20">
        <f t="shared" si="92"/>
        <v>0</v>
      </c>
      <c r="DI482" s="20">
        <f t="shared" si="93"/>
        <v>0</v>
      </c>
      <c r="DJ482" s="2"/>
    </row>
    <row r="483" spans="80:114" x14ac:dyDescent="0.3">
      <c r="CB483" s="18"/>
      <c r="CC483" s="19"/>
      <c r="CD483" s="19"/>
      <c r="CE483" s="19"/>
      <c r="CF483" s="19"/>
      <c r="CG483" s="19"/>
      <c r="CH483" s="19"/>
      <c r="CI483" s="20"/>
      <c r="CJ483" s="20"/>
      <c r="CN483" s="18"/>
      <c r="CO483" s="19"/>
      <c r="CP483" s="19"/>
      <c r="CQ483" s="19"/>
      <c r="CR483" s="19"/>
      <c r="CS483" s="19"/>
      <c r="CT483" s="19"/>
      <c r="CU483" s="20"/>
      <c r="CV483" s="20"/>
      <c r="DA483" s="18">
        <f t="shared" si="85"/>
        <v>0</v>
      </c>
      <c r="DB483" s="19">
        <f t="shared" si="86"/>
        <v>0</v>
      </c>
      <c r="DC483" s="19">
        <f t="shared" si="87"/>
        <v>0</v>
      </c>
      <c r="DD483" s="19">
        <f t="shared" si="88"/>
        <v>0</v>
      </c>
      <c r="DE483" s="19">
        <f t="shared" si="89"/>
        <v>0</v>
      </c>
      <c r="DF483" s="19">
        <f t="shared" si="90"/>
        <v>0</v>
      </c>
      <c r="DG483" s="19">
        <f t="shared" si="91"/>
        <v>0</v>
      </c>
      <c r="DH483" s="20">
        <f t="shared" si="92"/>
        <v>0</v>
      </c>
      <c r="DI483" s="20">
        <f t="shared" si="93"/>
        <v>0</v>
      </c>
      <c r="DJ483" s="2"/>
    </row>
    <row r="484" spans="80:114" x14ac:dyDescent="0.3">
      <c r="CB484" s="18"/>
      <c r="CC484" s="19"/>
      <c r="CD484" s="19"/>
      <c r="CE484" s="19"/>
      <c r="CF484" s="19"/>
      <c r="CG484" s="19"/>
      <c r="CH484" s="19"/>
      <c r="CI484" s="20"/>
      <c r="CJ484" s="20"/>
      <c r="CN484" s="18"/>
      <c r="CO484" s="19"/>
      <c r="CP484" s="19"/>
      <c r="CQ484" s="19"/>
      <c r="CR484" s="19"/>
      <c r="CS484" s="19"/>
      <c r="CT484" s="19"/>
      <c r="CU484" s="20"/>
      <c r="CV484" s="20"/>
      <c r="DA484" s="18">
        <f t="shared" si="85"/>
        <v>0</v>
      </c>
      <c r="DB484" s="19">
        <f t="shared" si="86"/>
        <v>0</v>
      </c>
      <c r="DC484" s="19">
        <f t="shared" si="87"/>
        <v>0</v>
      </c>
      <c r="DD484" s="19">
        <f t="shared" si="88"/>
        <v>0</v>
      </c>
      <c r="DE484" s="19">
        <f t="shared" si="89"/>
        <v>0</v>
      </c>
      <c r="DF484" s="19">
        <f t="shared" si="90"/>
        <v>0</v>
      </c>
      <c r="DG484" s="19">
        <f t="shared" si="91"/>
        <v>0</v>
      </c>
      <c r="DH484" s="20">
        <f t="shared" si="92"/>
        <v>0</v>
      </c>
      <c r="DI484" s="20">
        <f t="shared" si="93"/>
        <v>0</v>
      </c>
      <c r="DJ484" s="2"/>
    </row>
    <row r="485" spans="80:114" x14ac:dyDescent="0.3">
      <c r="CB485" s="18"/>
      <c r="CC485" s="19"/>
      <c r="CD485" s="19"/>
      <c r="CE485" s="19"/>
      <c r="CF485" s="19"/>
      <c r="CG485" s="19"/>
      <c r="CH485" s="19"/>
      <c r="CI485" s="20"/>
      <c r="CJ485" s="20"/>
      <c r="CN485" s="18"/>
      <c r="CO485" s="19"/>
      <c r="CP485" s="19"/>
      <c r="CQ485" s="19"/>
      <c r="CR485" s="19"/>
      <c r="CS485" s="19"/>
      <c r="CT485" s="19"/>
      <c r="CU485" s="20"/>
      <c r="CV485" s="20"/>
      <c r="DA485" s="18">
        <f t="shared" si="85"/>
        <v>0</v>
      </c>
      <c r="DB485" s="19">
        <f t="shared" si="86"/>
        <v>0</v>
      </c>
      <c r="DC485" s="19">
        <f t="shared" si="87"/>
        <v>0</v>
      </c>
      <c r="DD485" s="19">
        <f t="shared" si="88"/>
        <v>0</v>
      </c>
      <c r="DE485" s="19">
        <f t="shared" si="89"/>
        <v>0</v>
      </c>
      <c r="DF485" s="19">
        <f t="shared" si="90"/>
        <v>0</v>
      </c>
      <c r="DG485" s="19">
        <f t="shared" si="91"/>
        <v>0</v>
      </c>
      <c r="DH485" s="20">
        <f t="shared" si="92"/>
        <v>0</v>
      </c>
      <c r="DI485" s="20">
        <f t="shared" si="93"/>
        <v>0</v>
      </c>
      <c r="DJ485" s="2"/>
    </row>
    <row r="486" spans="80:114" x14ac:dyDescent="0.3">
      <c r="CB486" s="18"/>
      <c r="CC486" s="19"/>
      <c r="CD486" s="19"/>
      <c r="CE486" s="19"/>
      <c r="CF486" s="19"/>
      <c r="CG486" s="19"/>
      <c r="CH486" s="19"/>
      <c r="CI486" s="20"/>
      <c r="CJ486" s="20"/>
      <c r="CN486" s="18"/>
      <c r="CO486" s="19"/>
      <c r="CP486" s="19"/>
      <c r="CQ486" s="19"/>
      <c r="CR486" s="19"/>
      <c r="CS486" s="19"/>
      <c r="CT486" s="19"/>
      <c r="CU486" s="20"/>
      <c r="CV486" s="20"/>
      <c r="DA486" s="18">
        <f t="shared" si="85"/>
        <v>0</v>
      </c>
      <c r="DB486" s="19">
        <f t="shared" si="86"/>
        <v>0</v>
      </c>
      <c r="DC486" s="19">
        <f t="shared" si="87"/>
        <v>0</v>
      </c>
      <c r="DD486" s="19">
        <f t="shared" si="88"/>
        <v>0</v>
      </c>
      <c r="DE486" s="19">
        <f t="shared" si="89"/>
        <v>0</v>
      </c>
      <c r="DF486" s="19">
        <f t="shared" si="90"/>
        <v>0</v>
      </c>
      <c r="DG486" s="19">
        <f t="shared" si="91"/>
        <v>0</v>
      </c>
      <c r="DH486" s="20">
        <f t="shared" si="92"/>
        <v>0</v>
      </c>
      <c r="DI486" s="20">
        <f t="shared" si="93"/>
        <v>0</v>
      </c>
      <c r="DJ486" s="2"/>
    </row>
    <row r="487" spans="80:114" x14ac:dyDescent="0.3">
      <c r="CB487" s="18"/>
      <c r="CC487" s="19"/>
      <c r="CD487" s="19"/>
      <c r="CE487" s="19"/>
      <c r="CF487" s="19"/>
      <c r="CG487" s="19"/>
      <c r="CH487" s="19"/>
      <c r="CI487" s="20"/>
      <c r="CJ487" s="20"/>
      <c r="CN487" s="18"/>
      <c r="CO487" s="19"/>
      <c r="CP487" s="19"/>
      <c r="CQ487" s="19"/>
      <c r="CR487" s="19"/>
      <c r="CS487" s="19"/>
      <c r="CT487" s="19"/>
      <c r="CU487" s="20"/>
      <c r="CV487" s="20"/>
      <c r="DA487" s="18">
        <f t="shared" si="85"/>
        <v>0</v>
      </c>
      <c r="DB487" s="19">
        <f t="shared" si="86"/>
        <v>0</v>
      </c>
      <c r="DC487" s="19">
        <f t="shared" si="87"/>
        <v>0</v>
      </c>
      <c r="DD487" s="19">
        <f t="shared" si="88"/>
        <v>0</v>
      </c>
      <c r="DE487" s="19">
        <f t="shared" si="89"/>
        <v>0</v>
      </c>
      <c r="DF487" s="19">
        <f t="shared" si="90"/>
        <v>0</v>
      </c>
      <c r="DG487" s="19">
        <f t="shared" si="91"/>
        <v>0</v>
      </c>
      <c r="DH487" s="20">
        <f t="shared" si="92"/>
        <v>0</v>
      </c>
      <c r="DI487" s="20">
        <f t="shared" si="93"/>
        <v>0</v>
      </c>
      <c r="DJ487" s="2"/>
    </row>
    <row r="488" spans="80:114" x14ac:dyDescent="0.3">
      <c r="CB488" s="18"/>
      <c r="CC488" s="19"/>
      <c r="CD488" s="19"/>
      <c r="CE488" s="19"/>
      <c r="CF488" s="19"/>
      <c r="CG488" s="19"/>
      <c r="CH488" s="19"/>
      <c r="CI488" s="20"/>
      <c r="CJ488" s="20"/>
      <c r="CN488" s="18"/>
      <c r="CO488" s="19"/>
      <c r="CP488" s="19"/>
      <c r="CQ488" s="19"/>
      <c r="CR488" s="19"/>
      <c r="CS488" s="19"/>
      <c r="CT488" s="19"/>
      <c r="CU488" s="20"/>
      <c r="CV488" s="20"/>
      <c r="DA488" s="18">
        <f t="shared" si="85"/>
        <v>0</v>
      </c>
      <c r="DB488" s="19">
        <f t="shared" si="86"/>
        <v>0</v>
      </c>
      <c r="DC488" s="19">
        <f t="shared" si="87"/>
        <v>0</v>
      </c>
      <c r="DD488" s="19">
        <f t="shared" si="88"/>
        <v>0</v>
      </c>
      <c r="DE488" s="19">
        <f t="shared" si="89"/>
        <v>0</v>
      </c>
      <c r="DF488" s="19">
        <f t="shared" si="90"/>
        <v>0</v>
      </c>
      <c r="DG488" s="19">
        <f t="shared" si="91"/>
        <v>0</v>
      </c>
      <c r="DH488" s="20">
        <f t="shared" si="92"/>
        <v>0</v>
      </c>
      <c r="DI488" s="20">
        <f t="shared" si="93"/>
        <v>0</v>
      </c>
      <c r="DJ488" s="2"/>
    </row>
    <row r="489" spans="80:114" x14ac:dyDescent="0.3">
      <c r="CB489" s="18"/>
      <c r="CC489" s="19"/>
      <c r="CD489" s="19"/>
      <c r="CE489" s="19"/>
      <c r="CF489" s="19"/>
      <c r="CG489" s="19"/>
      <c r="CH489" s="19"/>
      <c r="CI489" s="20"/>
      <c r="CJ489" s="20"/>
      <c r="CN489" s="18"/>
      <c r="CO489" s="19"/>
      <c r="CP489" s="19"/>
      <c r="CQ489" s="19"/>
      <c r="CR489" s="19"/>
      <c r="CS489" s="19"/>
      <c r="CT489" s="19"/>
      <c r="CU489" s="20"/>
      <c r="CV489" s="20"/>
      <c r="DA489" s="18">
        <f t="shared" si="85"/>
        <v>0</v>
      </c>
      <c r="DB489" s="19">
        <f t="shared" si="86"/>
        <v>0</v>
      </c>
      <c r="DC489" s="19">
        <f t="shared" si="87"/>
        <v>0</v>
      </c>
      <c r="DD489" s="19">
        <f t="shared" si="88"/>
        <v>0</v>
      </c>
      <c r="DE489" s="19">
        <f t="shared" si="89"/>
        <v>0</v>
      </c>
      <c r="DF489" s="19">
        <f t="shared" si="90"/>
        <v>0</v>
      </c>
      <c r="DG489" s="19">
        <f t="shared" si="91"/>
        <v>0</v>
      </c>
      <c r="DH489" s="20">
        <f t="shared" si="92"/>
        <v>0</v>
      </c>
      <c r="DI489" s="20">
        <f t="shared" si="93"/>
        <v>0</v>
      </c>
      <c r="DJ489" s="2"/>
    </row>
    <row r="490" spans="80:114" x14ac:dyDescent="0.3">
      <c r="CB490" s="18"/>
      <c r="CC490" s="19"/>
      <c r="CD490" s="19"/>
      <c r="CE490" s="19"/>
      <c r="CF490" s="19"/>
      <c r="CG490" s="19"/>
      <c r="CH490" s="19"/>
      <c r="CI490" s="20"/>
      <c r="CJ490" s="20"/>
      <c r="CN490" s="18"/>
      <c r="CO490" s="19"/>
      <c r="CP490" s="19"/>
      <c r="CQ490" s="19"/>
      <c r="CR490" s="19"/>
      <c r="CS490" s="19"/>
      <c r="CT490" s="19"/>
      <c r="CU490" s="20"/>
      <c r="CV490" s="20"/>
      <c r="DA490" s="18">
        <f t="shared" si="85"/>
        <v>0</v>
      </c>
      <c r="DB490" s="19">
        <f t="shared" si="86"/>
        <v>0</v>
      </c>
      <c r="DC490" s="19">
        <f t="shared" si="87"/>
        <v>0</v>
      </c>
      <c r="DD490" s="19">
        <f t="shared" si="88"/>
        <v>0</v>
      </c>
      <c r="DE490" s="19">
        <f t="shared" si="89"/>
        <v>0</v>
      </c>
      <c r="DF490" s="19">
        <f t="shared" si="90"/>
        <v>0</v>
      </c>
      <c r="DG490" s="19">
        <f t="shared" si="91"/>
        <v>0</v>
      </c>
      <c r="DH490" s="20">
        <f t="shared" si="92"/>
        <v>0</v>
      </c>
      <c r="DI490" s="20">
        <f t="shared" si="93"/>
        <v>0</v>
      </c>
      <c r="DJ490" s="2"/>
    </row>
    <row r="491" spans="80:114" x14ac:dyDescent="0.3">
      <c r="CB491" s="18"/>
      <c r="CC491" s="19"/>
      <c r="CD491" s="19"/>
      <c r="CE491" s="19"/>
      <c r="CF491" s="19"/>
      <c r="CG491" s="19"/>
      <c r="CH491" s="19"/>
      <c r="CI491" s="20"/>
      <c r="CJ491" s="20"/>
      <c r="CN491" s="18"/>
      <c r="CO491" s="19"/>
      <c r="CP491" s="19"/>
      <c r="CQ491" s="19"/>
      <c r="CR491" s="19"/>
      <c r="CS491" s="19"/>
      <c r="CT491" s="19"/>
      <c r="CU491" s="20"/>
      <c r="CV491" s="20"/>
      <c r="DA491" s="18">
        <f t="shared" si="85"/>
        <v>0</v>
      </c>
      <c r="DB491" s="19">
        <f t="shared" si="86"/>
        <v>0</v>
      </c>
      <c r="DC491" s="19">
        <f t="shared" si="87"/>
        <v>0</v>
      </c>
      <c r="DD491" s="19">
        <f t="shared" si="88"/>
        <v>0</v>
      </c>
      <c r="DE491" s="19">
        <f t="shared" si="89"/>
        <v>0</v>
      </c>
      <c r="DF491" s="19">
        <f t="shared" si="90"/>
        <v>0</v>
      </c>
      <c r="DG491" s="19">
        <f t="shared" si="91"/>
        <v>0</v>
      </c>
      <c r="DH491" s="20">
        <f t="shared" si="92"/>
        <v>0</v>
      </c>
      <c r="DI491" s="20">
        <f t="shared" si="93"/>
        <v>0</v>
      </c>
      <c r="DJ491" s="2"/>
    </row>
    <row r="492" spans="80:114" x14ac:dyDescent="0.3">
      <c r="CB492" s="18"/>
      <c r="CC492" s="19"/>
      <c r="CD492" s="19"/>
      <c r="CE492" s="19"/>
      <c r="CF492" s="19"/>
      <c r="CG492" s="19"/>
      <c r="CH492" s="19"/>
      <c r="CI492" s="20"/>
      <c r="CJ492" s="20"/>
      <c r="CN492" s="18"/>
      <c r="CO492" s="19"/>
      <c r="CP492" s="19"/>
      <c r="CQ492" s="19"/>
      <c r="CR492" s="19"/>
      <c r="CS492" s="19"/>
      <c r="CT492" s="19"/>
      <c r="CU492" s="20"/>
      <c r="CV492" s="20"/>
      <c r="DA492" s="18">
        <f t="shared" si="85"/>
        <v>0</v>
      </c>
      <c r="DB492" s="19">
        <f t="shared" si="86"/>
        <v>0</v>
      </c>
      <c r="DC492" s="19">
        <f t="shared" si="87"/>
        <v>0</v>
      </c>
      <c r="DD492" s="19">
        <f t="shared" si="88"/>
        <v>0</v>
      </c>
      <c r="DE492" s="19">
        <f t="shared" si="89"/>
        <v>0</v>
      </c>
      <c r="DF492" s="19">
        <f t="shared" si="90"/>
        <v>0</v>
      </c>
      <c r="DG492" s="19">
        <f t="shared" si="91"/>
        <v>0</v>
      </c>
      <c r="DH492" s="20">
        <f t="shared" si="92"/>
        <v>0</v>
      </c>
      <c r="DI492" s="20">
        <f t="shared" si="93"/>
        <v>0</v>
      </c>
      <c r="DJ492" s="2"/>
    </row>
    <row r="493" spans="80:114" x14ac:dyDescent="0.3">
      <c r="CB493" s="18"/>
      <c r="CC493" s="19"/>
      <c r="CD493" s="19"/>
      <c r="CE493" s="19"/>
      <c r="CF493" s="19"/>
      <c r="CG493" s="19"/>
      <c r="CH493" s="19"/>
      <c r="CI493" s="20"/>
      <c r="CJ493" s="20"/>
      <c r="CN493" s="18"/>
      <c r="CO493" s="19"/>
      <c r="CP493" s="19"/>
      <c r="CQ493" s="19"/>
      <c r="CR493" s="19"/>
      <c r="CS493" s="19"/>
      <c r="CT493" s="19"/>
      <c r="CU493" s="20"/>
      <c r="CV493" s="20"/>
      <c r="DA493" s="18">
        <f t="shared" si="85"/>
        <v>0</v>
      </c>
      <c r="DB493" s="19">
        <f t="shared" si="86"/>
        <v>0</v>
      </c>
      <c r="DC493" s="19">
        <f t="shared" si="87"/>
        <v>0</v>
      </c>
      <c r="DD493" s="19">
        <f t="shared" si="88"/>
        <v>0</v>
      </c>
      <c r="DE493" s="19">
        <f t="shared" si="89"/>
        <v>0</v>
      </c>
      <c r="DF493" s="19">
        <f t="shared" si="90"/>
        <v>0</v>
      </c>
      <c r="DG493" s="19">
        <f t="shared" si="91"/>
        <v>0</v>
      </c>
      <c r="DH493" s="20">
        <f t="shared" si="92"/>
        <v>0</v>
      </c>
      <c r="DI493" s="20">
        <f t="shared" si="93"/>
        <v>0</v>
      </c>
      <c r="DJ493" s="2"/>
    </row>
    <row r="494" spans="80:114" x14ac:dyDescent="0.3">
      <c r="CB494" s="18"/>
      <c r="CC494" s="19"/>
      <c r="CD494" s="19"/>
      <c r="CE494" s="19"/>
      <c r="CF494" s="19"/>
      <c r="CG494" s="19"/>
      <c r="CH494" s="19"/>
      <c r="CI494" s="20"/>
      <c r="CJ494" s="20"/>
      <c r="CN494" s="18"/>
      <c r="CO494" s="19"/>
      <c r="CP494" s="19"/>
      <c r="CQ494" s="19"/>
      <c r="CR494" s="19"/>
      <c r="CS494" s="19"/>
      <c r="CT494" s="19"/>
      <c r="CU494" s="20"/>
      <c r="CV494" s="20"/>
      <c r="DA494" s="18">
        <f t="shared" si="85"/>
        <v>0</v>
      </c>
      <c r="DB494" s="19">
        <f t="shared" si="86"/>
        <v>0</v>
      </c>
      <c r="DC494" s="19">
        <f t="shared" si="87"/>
        <v>0</v>
      </c>
      <c r="DD494" s="19">
        <f t="shared" si="88"/>
        <v>0</v>
      </c>
      <c r="DE494" s="19">
        <f t="shared" si="89"/>
        <v>0</v>
      </c>
      <c r="DF494" s="19">
        <f t="shared" si="90"/>
        <v>0</v>
      </c>
      <c r="DG494" s="19">
        <f t="shared" si="91"/>
        <v>0</v>
      </c>
      <c r="DH494" s="20">
        <f t="shared" si="92"/>
        <v>0</v>
      </c>
      <c r="DI494" s="20">
        <f t="shared" si="93"/>
        <v>0</v>
      </c>
      <c r="DJ494" s="2"/>
    </row>
    <row r="495" spans="80:114" x14ac:dyDescent="0.3">
      <c r="CB495" s="18"/>
      <c r="CC495" s="19"/>
      <c r="CD495" s="19"/>
      <c r="CE495" s="19"/>
      <c r="CF495" s="19"/>
      <c r="CG495" s="19"/>
      <c r="CH495" s="19"/>
      <c r="CI495" s="20"/>
      <c r="CJ495" s="20"/>
      <c r="CN495" s="18"/>
      <c r="CO495" s="19"/>
      <c r="CP495" s="19"/>
      <c r="CQ495" s="19"/>
      <c r="CR495" s="19"/>
      <c r="CS495" s="19"/>
      <c r="CT495" s="19"/>
      <c r="CU495" s="20"/>
      <c r="CV495" s="20"/>
      <c r="DA495" s="18">
        <f t="shared" si="85"/>
        <v>0</v>
      </c>
      <c r="DB495" s="19">
        <f t="shared" si="86"/>
        <v>0</v>
      </c>
      <c r="DC495" s="19">
        <f t="shared" si="87"/>
        <v>0</v>
      </c>
      <c r="DD495" s="19">
        <f t="shared" si="88"/>
        <v>0</v>
      </c>
      <c r="DE495" s="19">
        <f t="shared" si="89"/>
        <v>0</v>
      </c>
      <c r="DF495" s="19">
        <f t="shared" si="90"/>
        <v>0</v>
      </c>
      <c r="DG495" s="19">
        <f t="shared" si="91"/>
        <v>0</v>
      </c>
      <c r="DH495" s="20">
        <f t="shared" si="92"/>
        <v>0</v>
      </c>
      <c r="DI495" s="20">
        <f t="shared" si="93"/>
        <v>0</v>
      </c>
      <c r="DJ495" s="2"/>
    </row>
    <row r="496" spans="80:114" x14ac:dyDescent="0.3">
      <c r="CB496" s="18"/>
      <c r="CC496" s="19"/>
      <c r="CD496" s="19"/>
      <c r="CE496" s="19"/>
      <c r="CF496" s="19"/>
      <c r="CG496" s="19"/>
      <c r="CH496" s="19"/>
      <c r="CI496" s="20"/>
      <c r="CJ496" s="20"/>
      <c r="CN496" s="18"/>
      <c r="CO496" s="19"/>
      <c r="CP496" s="19"/>
      <c r="CQ496" s="19"/>
      <c r="CR496" s="19"/>
      <c r="CS496" s="19"/>
      <c r="CT496" s="19"/>
      <c r="CU496" s="20"/>
      <c r="CV496" s="20"/>
      <c r="DA496" s="18">
        <f t="shared" si="85"/>
        <v>0</v>
      </c>
      <c r="DB496" s="19">
        <f t="shared" si="86"/>
        <v>0</v>
      </c>
      <c r="DC496" s="19">
        <f t="shared" si="87"/>
        <v>0</v>
      </c>
      <c r="DD496" s="19">
        <f t="shared" si="88"/>
        <v>0</v>
      </c>
      <c r="DE496" s="19">
        <f t="shared" si="89"/>
        <v>0</v>
      </c>
      <c r="DF496" s="19">
        <f t="shared" si="90"/>
        <v>0</v>
      </c>
      <c r="DG496" s="19">
        <f t="shared" si="91"/>
        <v>0</v>
      </c>
      <c r="DH496" s="20">
        <f t="shared" si="92"/>
        <v>0</v>
      </c>
      <c r="DI496" s="20">
        <f t="shared" si="93"/>
        <v>0</v>
      </c>
      <c r="DJ496" s="2"/>
    </row>
    <row r="497" spans="80:114" x14ac:dyDescent="0.3">
      <c r="CB497" s="18"/>
      <c r="CC497" s="19"/>
      <c r="CD497" s="19"/>
      <c r="CE497" s="19"/>
      <c r="CF497" s="19"/>
      <c r="CG497" s="19"/>
      <c r="CH497" s="19"/>
      <c r="CI497" s="20"/>
      <c r="CJ497" s="20"/>
      <c r="CN497" s="18"/>
      <c r="CO497" s="19"/>
      <c r="CP497" s="19"/>
      <c r="CQ497" s="19"/>
      <c r="CR497" s="19"/>
      <c r="CS497" s="19"/>
      <c r="CT497" s="19"/>
      <c r="CU497" s="20"/>
      <c r="CV497" s="20"/>
      <c r="DA497" s="18">
        <f t="shared" si="85"/>
        <v>0</v>
      </c>
      <c r="DB497" s="19">
        <f t="shared" si="86"/>
        <v>0</v>
      </c>
      <c r="DC497" s="19">
        <f t="shared" si="87"/>
        <v>0</v>
      </c>
      <c r="DD497" s="19">
        <f t="shared" si="88"/>
        <v>0</v>
      </c>
      <c r="DE497" s="19">
        <f t="shared" si="89"/>
        <v>0</v>
      </c>
      <c r="DF497" s="19">
        <f t="shared" si="90"/>
        <v>0</v>
      </c>
      <c r="DG497" s="19">
        <f t="shared" si="91"/>
        <v>0</v>
      </c>
      <c r="DH497" s="20">
        <f t="shared" si="92"/>
        <v>0</v>
      </c>
      <c r="DI497" s="20">
        <f t="shared" si="93"/>
        <v>0</v>
      </c>
      <c r="DJ497" s="2"/>
    </row>
    <row r="498" spans="80:114" x14ac:dyDescent="0.3">
      <c r="CB498" s="18"/>
      <c r="CC498" s="19"/>
      <c r="CD498" s="19"/>
      <c r="CE498" s="19"/>
      <c r="CF498" s="19"/>
      <c r="CG498" s="19"/>
      <c r="CH498" s="19"/>
      <c r="CI498" s="20"/>
      <c r="CJ498" s="20"/>
      <c r="CN498" s="18"/>
      <c r="CO498" s="19"/>
      <c r="CP498" s="19"/>
      <c r="CQ498" s="19"/>
      <c r="CR498" s="19"/>
      <c r="CS498" s="19"/>
      <c r="CT498" s="19"/>
      <c r="CU498" s="20"/>
      <c r="CV498" s="20"/>
      <c r="DA498" s="18">
        <f t="shared" si="85"/>
        <v>0</v>
      </c>
      <c r="DB498" s="19">
        <f t="shared" si="86"/>
        <v>0</v>
      </c>
      <c r="DC498" s="19">
        <f t="shared" si="87"/>
        <v>0</v>
      </c>
      <c r="DD498" s="19">
        <f t="shared" si="88"/>
        <v>0</v>
      </c>
      <c r="DE498" s="19">
        <f t="shared" si="89"/>
        <v>0</v>
      </c>
      <c r="DF498" s="19">
        <f t="shared" si="90"/>
        <v>0</v>
      </c>
      <c r="DG498" s="19">
        <f t="shared" si="91"/>
        <v>0</v>
      </c>
      <c r="DH498" s="20">
        <f t="shared" si="92"/>
        <v>0</v>
      </c>
      <c r="DI498" s="20">
        <f t="shared" si="93"/>
        <v>0</v>
      </c>
      <c r="DJ498" s="2"/>
    </row>
    <row r="499" spans="80:114" x14ac:dyDescent="0.3">
      <c r="CB499" s="18"/>
      <c r="CC499" s="19"/>
      <c r="CD499" s="19"/>
      <c r="CE499" s="19"/>
      <c r="CF499" s="19"/>
      <c r="CG499" s="19"/>
      <c r="CH499" s="19"/>
      <c r="CI499" s="20"/>
      <c r="CJ499" s="20"/>
      <c r="CN499" s="18"/>
      <c r="CO499" s="19"/>
      <c r="CP499" s="19"/>
      <c r="CQ499" s="19"/>
      <c r="CR499" s="19"/>
      <c r="CS499" s="19"/>
      <c r="CT499" s="19"/>
      <c r="CU499" s="20"/>
      <c r="CV499" s="20"/>
      <c r="DA499" s="18">
        <f t="shared" si="85"/>
        <v>0</v>
      </c>
      <c r="DB499" s="19">
        <f t="shared" si="86"/>
        <v>0</v>
      </c>
      <c r="DC499" s="19">
        <f t="shared" si="87"/>
        <v>0</v>
      </c>
      <c r="DD499" s="19">
        <f t="shared" si="88"/>
        <v>0</v>
      </c>
      <c r="DE499" s="19">
        <f t="shared" si="89"/>
        <v>0</v>
      </c>
      <c r="DF499" s="19">
        <f t="shared" si="90"/>
        <v>0</v>
      </c>
      <c r="DG499" s="19">
        <f t="shared" si="91"/>
        <v>0</v>
      </c>
      <c r="DH499" s="20">
        <f t="shared" si="92"/>
        <v>0</v>
      </c>
      <c r="DI499" s="20">
        <f t="shared" si="93"/>
        <v>0</v>
      </c>
      <c r="DJ499" s="2"/>
    </row>
    <row r="500" spans="80:114" x14ac:dyDescent="0.3">
      <c r="CB500" s="18"/>
      <c r="CC500" s="19"/>
      <c r="CD500" s="19"/>
      <c r="CE500" s="19"/>
      <c r="CF500" s="19"/>
      <c r="CG500" s="19"/>
      <c r="CH500" s="19"/>
      <c r="CI500" s="20"/>
      <c r="CJ500" s="20"/>
      <c r="CN500" s="18"/>
      <c r="CO500" s="19"/>
      <c r="CP500" s="19"/>
      <c r="CQ500" s="19"/>
      <c r="CR500" s="19"/>
      <c r="CS500" s="19"/>
      <c r="CT500" s="19"/>
      <c r="CU500" s="20"/>
      <c r="CV500" s="20"/>
      <c r="DA500" s="18">
        <f t="shared" si="85"/>
        <v>0</v>
      </c>
      <c r="DB500" s="19">
        <f t="shared" si="86"/>
        <v>0</v>
      </c>
      <c r="DC500" s="19">
        <f t="shared" si="87"/>
        <v>0</v>
      </c>
      <c r="DD500" s="19">
        <f t="shared" si="88"/>
        <v>0</v>
      </c>
      <c r="DE500" s="19">
        <f t="shared" si="89"/>
        <v>0</v>
      </c>
      <c r="DF500" s="19">
        <f t="shared" si="90"/>
        <v>0</v>
      </c>
      <c r="DG500" s="19">
        <f t="shared" si="91"/>
        <v>0</v>
      </c>
      <c r="DH500" s="20">
        <f t="shared" si="92"/>
        <v>0</v>
      </c>
      <c r="DI500" s="20">
        <f t="shared" si="93"/>
        <v>0</v>
      </c>
      <c r="DJ500" s="2"/>
    </row>
    <row r="501" spans="80:114" x14ac:dyDescent="0.3">
      <c r="CB501" s="18"/>
      <c r="CC501" s="19"/>
      <c r="CD501" s="19"/>
      <c r="CE501" s="19"/>
      <c r="CF501" s="19"/>
      <c r="CG501" s="19"/>
      <c r="CH501" s="19"/>
      <c r="CI501" s="20"/>
      <c r="CJ501" s="20"/>
      <c r="CN501" s="18"/>
      <c r="CO501" s="19"/>
      <c r="CP501" s="19"/>
      <c r="CQ501" s="19"/>
      <c r="CR501" s="19"/>
      <c r="CS501" s="19"/>
      <c r="CT501" s="19"/>
      <c r="CU501" s="20"/>
      <c r="CV501" s="20"/>
      <c r="DA501" s="18">
        <f t="shared" si="85"/>
        <v>0</v>
      </c>
      <c r="DB501" s="19">
        <f t="shared" si="86"/>
        <v>0</v>
      </c>
      <c r="DC501" s="19">
        <f t="shared" si="87"/>
        <v>0</v>
      </c>
      <c r="DD501" s="19">
        <f t="shared" si="88"/>
        <v>0</v>
      </c>
      <c r="DE501" s="19">
        <f t="shared" si="89"/>
        <v>0</v>
      </c>
      <c r="DF501" s="19">
        <f t="shared" si="90"/>
        <v>0</v>
      </c>
      <c r="DG501" s="19">
        <f t="shared" si="91"/>
        <v>0</v>
      </c>
      <c r="DH501" s="20">
        <f t="shared" si="92"/>
        <v>0</v>
      </c>
      <c r="DI501" s="20">
        <f t="shared" si="93"/>
        <v>0</v>
      </c>
      <c r="DJ501" s="2"/>
    </row>
    <row r="502" spans="80:114" x14ac:dyDescent="0.3">
      <c r="CB502" s="18"/>
      <c r="CC502" s="19"/>
      <c r="CD502" s="19"/>
      <c r="CE502" s="19"/>
      <c r="CF502" s="19"/>
      <c r="CG502" s="19"/>
      <c r="CH502" s="19"/>
      <c r="CI502" s="18"/>
      <c r="CJ502" s="18"/>
      <c r="CN502" s="18"/>
      <c r="CO502" s="19"/>
      <c r="CP502" s="19"/>
      <c r="CQ502" s="19"/>
      <c r="CR502" s="19"/>
      <c r="CS502" s="19"/>
      <c r="CT502" s="19"/>
      <c r="CU502" s="20"/>
      <c r="CV502" s="20"/>
      <c r="DA502" s="18">
        <f t="shared" si="85"/>
        <v>0</v>
      </c>
      <c r="DB502" s="19">
        <f t="shared" si="86"/>
        <v>0</v>
      </c>
      <c r="DC502" s="19">
        <f t="shared" si="87"/>
        <v>0</v>
      </c>
      <c r="DD502" s="19">
        <f t="shared" si="88"/>
        <v>0</v>
      </c>
      <c r="DE502" s="19">
        <f t="shared" si="89"/>
        <v>0</v>
      </c>
      <c r="DF502" s="19">
        <f t="shared" si="90"/>
        <v>0</v>
      </c>
      <c r="DG502" s="19">
        <f t="shared" si="91"/>
        <v>0</v>
      </c>
      <c r="DH502" s="20">
        <f t="shared" si="92"/>
        <v>0</v>
      </c>
      <c r="DI502" s="20">
        <f t="shared" si="93"/>
        <v>0</v>
      </c>
      <c r="DJ502" s="2"/>
    </row>
    <row r="503" spans="80:114" x14ac:dyDescent="0.3">
      <c r="CB503" s="18"/>
      <c r="CC503" s="19"/>
      <c r="CD503" s="19"/>
      <c r="CE503" s="19"/>
      <c r="CF503" s="19"/>
      <c r="CG503" s="19"/>
      <c r="CH503" s="19"/>
      <c r="CI503" s="18"/>
      <c r="CJ503" s="18"/>
      <c r="CN503" s="18"/>
      <c r="CO503" s="19"/>
      <c r="CP503" s="19"/>
      <c r="CQ503" s="19"/>
      <c r="CR503" s="19"/>
      <c r="CS503" s="19"/>
      <c r="CT503" s="19"/>
      <c r="CU503" s="20"/>
      <c r="CV503" s="20"/>
      <c r="DA503" s="18">
        <f t="shared" si="85"/>
        <v>0</v>
      </c>
      <c r="DB503" s="19">
        <f t="shared" si="86"/>
        <v>0</v>
      </c>
      <c r="DC503" s="19">
        <f t="shared" si="87"/>
        <v>0</v>
      </c>
      <c r="DD503" s="19">
        <f t="shared" si="88"/>
        <v>0</v>
      </c>
      <c r="DE503" s="19">
        <f t="shared" si="89"/>
        <v>0</v>
      </c>
      <c r="DF503" s="19">
        <f t="shared" si="90"/>
        <v>0</v>
      </c>
      <c r="DG503" s="19">
        <f t="shared" si="91"/>
        <v>0</v>
      </c>
      <c r="DH503" s="20">
        <f t="shared" si="92"/>
        <v>0</v>
      </c>
      <c r="DI503" s="20">
        <f t="shared" si="93"/>
        <v>0</v>
      </c>
      <c r="DJ503" s="2"/>
    </row>
    <row r="504" spans="80:114" x14ac:dyDescent="0.3">
      <c r="CB504" s="18"/>
      <c r="CC504" s="19"/>
      <c r="CD504" s="19"/>
      <c r="CE504" s="19"/>
      <c r="CF504" s="19"/>
      <c r="CG504" s="19"/>
      <c r="CH504" s="19"/>
      <c r="CI504" s="18"/>
      <c r="CJ504" s="18"/>
      <c r="CN504" s="18"/>
      <c r="CO504" s="19"/>
      <c r="CP504" s="19"/>
      <c r="CQ504" s="19"/>
      <c r="CR504" s="19"/>
      <c r="CS504" s="19"/>
      <c r="CT504" s="19"/>
      <c r="CU504" s="20"/>
      <c r="CV504" s="20"/>
      <c r="DA504" s="18">
        <f t="shared" si="85"/>
        <v>0</v>
      </c>
      <c r="DB504" s="19">
        <f t="shared" si="86"/>
        <v>0</v>
      </c>
      <c r="DC504" s="19">
        <f t="shared" si="87"/>
        <v>0</v>
      </c>
      <c r="DD504" s="19">
        <f t="shared" si="88"/>
        <v>0</v>
      </c>
      <c r="DE504" s="19">
        <f t="shared" si="89"/>
        <v>0</v>
      </c>
      <c r="DF504" s="19">
        <f t="shared" si="90"/>
        <v>0</v>
      </c>
      <c r="DG504" s="19">
        <f t="shared" si="91"/>
        <v>0</v>
      </c>
      <c r="DH504" s="20">
        <f t="shared" si="92"/>
        <v>0</v>
      </c>
      <c r="DI504" s="20">
        <f t="shared" si="93"/>
        <v>0</v>
      </c>
      <c r="DJ504" s="2"/>
    </row>
    <row r="505" spans="80:114" x14ac:dyDescent="0.3">
      <c r="CB505" s="18"/>
      <c r="CC505" s="19"/>
      <c r="CD505" s="19"/>
      <c r="CE505" s="19"/>
      <c r="CF505" s="19"/>
      <c r="CG505" s="19"/>
      <c r="CH505" s="19"/>
      <c r="CI505" s="18"/>
      <c r="CJ505" s="18"/>
      <c r="CN505" s="18"/>
      <c r="CO505" s="19"/>
      <c r="CP505" s="19"/>
      <c r="CQ505" s="19"/>
      <c r="CR505" s="19"/>
      <c r="CS505" s="19"/>
      <c r="CT505" s="19"/>
      <c r="CU505" s="20"/>
      <c r="CV505" s="20"/>
      <c r="DA505" s="18">
        <f t="shared" si="85"/>
        <v>0</v>
      </c>
      <c r="DB505" s="19">
        <f t="shared" si="86"/>
        <v>0</v>
      </c>
      <c r="DC505" s="19">
        <f t="shared" si="87"/>
        <v>0</v>
      </c>
      <c r="DD505" s="19">
        <f t="shared" si="88"/>
        <v>0</v>
      </c>
      <c r="DE505" s="19">
        <f t="shared" si="89"/>
        <v>0</v>
      </c>
      <c r="DF505" s="19">
        <f t="shared" si="90"/>
        <v>0</v>
      </c>
      <c r="DG505" s="19">
        <f t="shared" si="91"/>
        <v>0</v>
      </c>
      <c r="DH505" s="20">
        <f t="shared" si="92"/>
        <v>0</v>
      </c>
      <c r="DI505" s="20">
        <f t="shared" si="93"/>
        <v>0</v>
      </c>
      <c r="DJ505" s="2"/>
    </row>
    <row r="506" spans="80:114" x14ac:dyDescent="0.3">
      <c r="CB506" s="18"/>
      <c r="CC506" s="19"/>
      <c r="CD506" s="19"/>
      <c r="CE506" s="19"/>
      <c r="CF506" s="19"/>
      <c r="CG506" s="19"/>
      <c r="CH506" s="19"/>
      <c r="CI506" s="18"/>
      <c r="CJ506" s="18"/>
      <c r="CN506" s="18"/>
      <c r="CO506" s="19"/>
      <c r="CP506" s="19"/>
      <c r="CQ506" s="19"/>
      <c r="CR506" s="19"/>
      <c r="CS506" s="19"/>
      <c r="CT506" s="19"/>
      <c r="CU506" s="20"/>
      <c r="CV506" s="20"/>
      <c r="DA506" s="18">
        <f t="shared" si="85"/>
        <v>0</v>
      </c>
      <c r="DB506" s="19">
        <f t="shared" si="86"/>
        <v>0</v>
      </c>
      <c r="DC506" s="19">
        <f t="shared" si="87"/>
        <v>0</v>
      </c>
      <c r="DD506" s="19">
        <f t="shared" si="88"/>
        <v>0</v>
      </c>
      <c r="DE506" s="19">
        <f t="shared" si="89"/>
        <v>0</v>
      </c>
      <c r="DF506" s="19">
        <f t="shared" si="90"/>
        <v>0</v>
      </c>
      <c r="DG506" s="19">
        <f t="shared" si="91"/>
        <v>0</v>
      </c>
      <c r="DH506" s="20">
        <f t="shared" si="92"/>
        <v>0</v>
      </c>
      <c r="DI506" s="20">
        <f t="shared" si="93"/>
        <v>0</v>
      </c>
      <c r="DJ506" s="2"/>
    </row>
    <row r="507" spans="80:114" x14ac:dyDescent="0.3">
      <c r="CB507" s="18"/>
      <c r="CC507" s="19"/>
      <c r="CD507" s="19"/>
      <c r="CE507" s="19"/>
      <c r="CF507" s="19"/>
      <c r="CG507" s="19"/>
      <c r="CH507" s="19"/>
      <c r="CI507" s="18"/>
      <c r="CJ507" s="18"/>
      <c r="CN507" s="18"/>
      <c r="CO507" s="19"/>
      <c r="CP507" s="19"/>
      <c r="CQ507" s="19"/>
      <c r="CR507" s="19"/>
      <c r="CS507" s="19"/>
      <c r="CT507" s="19"/>
      <c r="CU507" s="20"/>
      <c r="CV507" s="20"/>
      <c r="DA507" s="18">
        <f t="shared" si="85"/>
        <v>0</v>
      </c>
      <c r="DB507" s="19">
        <f t="shared" si="86"/>
        <v>0</v>
      </c>
      <c r="DC507" s="19">
        <f t="shared" si="87"/>
        <v>0</v>
      </c>
      <c r="DD507" s="19">
        <f t="shared" si="88"/>
        <v>0</v>
      </c>
      <c r="DE507" s="19">
        <f t="shared" si="89"/>
        <v>0</v>
      </c>
      <c r="DF507" s="19">
        <f t="shared" si="90"/>
        <v>0</v>
      </c>
      <c r="DG507" s="19">
        <f t="shared" si="91"/>
        <v>0</v>
      </c>
      <c r="DH507" s="20">
        <f t="shared" si="92"/>
        <v>0</v>
      </c>
      <c r="DI507" s="20">
        <f t="shared" si="93"/>
        <v>0</v>
      </c>
      <c r="DJ507" s="2"/>
    </row>
    <row r="508" spans="80:114" x14ac:dyDescent="0.3">
      <c r="CB508" s="18"/>
      <c r="CC508" s="19"/>
      <c r="CD508" s="19"/>
      <c r="CE508" s="19"/>
      <c r="CF508" s="19"/>
      <c r="CG508" s="19"/>
      <c r="CH508" s="19"/>
      <c r="CI508" s="18"/>
      <c r="CJ508" s="18"/>
      <c r="CN508" s="18"/>
      <c r="CO508" s="19"/>
      <c r="CP508" s="19"/>
      <c r="CQ508" s="19"/>
      <c r="CR508" s="19"/>
      <c r="CS508" s="19"/>
      <c r="CT508" s="19"/>
      <c r="CU508" s="20"/>
      <c r="CV508" s="20"/>
      <c r="DA508" s="18">
        <f t="shared" si="85"/>
        <v>0</v>
      </c>
      <c r="DB508" s="19">
        <f t="shared" si="86"/>
        <v>0</v>
      </c>
      <c r="DC508" s="19">
        <f t="shared" si="87"/>
        <v>0</v>
      </c>
      <c r="DD508" s="19">
        <f t="shared" si="88"/>
        <v>0</v>
      </c>
      <c r="DE508" s="19">
        <f t="shared" si="89"/>
        <v>0</v>
      </c>
      <c r="DF508" s="19">
        <f t="shared" si="90"/>
        <v>0</v>
      </c>
      <c r="DG508" s="19">
        <f t="shared" si="91"/>
        <v>0</v>
      </c>
      <c r="DH508" s="20">
        <f t="shared" si="92"/>
        <v>0</v>
      </c>
      <c r="DI508" s="20">
        <f t="shared" si="93"/>
        <v>0</v>
      </c>
      <c r="DJ508" s="2"/>
    </row>
    <row r="509" spans="80:114" x14ac:dyDescent="0.3">
      <c r="CB509" s="18"/>
      <c r="CC509" s="19"/>
      <c r="CD509" s="19"/>
      <c r="CE509" s="19"/>
      <c r="CF509" s="19"/>
      <c r="CG509" s="19"/>
      <c r="CH509" s="19"/>
      <c r="CI509" s="18"/>
      <c r="CJ509" s="18"/>
      <c r="CN509" s="18"/>
      <c r="CO509" s="19"/>
      <c r="CP509" s="19"/>
      <c r="CQ509" s="19"/>
      <c r="CR509" s="19"/>
      <c r="CS509" s="19"/>
      <c r="CT509" s="19"/>
      <c r="CU509" s="20"/>
      <c r="CV509" s="20"/>
      <c r="DA509" s="18">
        <f t="shared" si="85"/>
        <v>0</v>
      </c>
      <c r="DB509" s="19">
        <f t="shared" si="86"/>
        <v>0</v>
      </c>
      <c r="DC509" s="19">
        <f t="shared" si="87"/>
        <v>0</v>
      </c>
      <c r="DD509" s="19">
        <f t="shared" si="88"/>
        <v>0</v>
      </c>
      <c r="DE509" s="19">
        <f t="shared" si="89"/>
        <v>0</v>
      </c>
      <c r="DF509" s="19">
        <f t="shared" si="90"/>
        <v>0</v>
      </c>
      <c r="DG509" s="19">
        <f t="shared" si="91"/>
        <v>0</v>
      </c>
      <c r="DH509" s="20">
        <f t="shared" si="92"/>
        <v>0</v>
      </c>
      <c r="DI509" s="20">
        <f t="shared" si="93"/>
        <v>0</v>
      </c>
    </row>
    <row r="510" spans="80:114" x14ac:dyDescent="0.3">
      <c r="CB510" s="18"/>
      <c r="CC510" s="19"/>
      <c r="CD510" s="19"/>
      <c r="CE510" s="19"/>
      <c r="CF510" s="19"/>
      <c r="CG510" s="19"/>
      <c r="CH510" s="19"/>
      <c r="CI510" s="18"/>
      <c r="CJ510" s="18"/>
      <c r="CN510" s="18"/>
      <c r="CO510" s="19"/>
      <c r="CP510" s="19"/>
      <c r="CQ510" s="19"/>
      <c r="CR510" s="19"/>
      <c r="CS510" s="19"/>
      <c r="CT510" s="19"/>
      <c r="CU510" s="20"/>
      <c r="CV510" s="20"/>
      <c r="DA510" s="18">
        <f t="shared" si="85"/>
        <v>0</v>
      </c>
      <c r="DB510" s="19">
        <f t="shared" si="86"/>
        <v>0</v>
      </c>
      <c r="DC510" s="19">
        <f t="shared" si="87"/>
        <v>0</v>
      </c>
      <c r="DD510" s="19">
        <f t="shared" si="88"/>
        <v>0</v>
      </c>
      <c r="DE510" s="19">
        <f t="shared" si="89"/>
        <v>0</v>
      </c>
      <c r="DF510" s="19">
        <f t="shared" si="90"/>
        <v>0</v>
      </c>
      <c r="DG510" s="19">
        <f t="shared" si="91"/>
        <v>0</v>
      </c>
      <c r="DH510" s="20">
        <f t="shared" si="92"/>
        <v>0</v>
      </c>
      <c r="DI510" s="20">
        <f t="shared" si="93"/>
        <v>0</v>
      </c>
    </row>
    <row r="511" spans="80:114" x14ac:dyDescent="0.3">
      <c r="CB511" s="18"/>
      <c r="CC511" s="19"/>
      <c r="CD511" s="19"/>
      <c r="CE511" s="19"/>
      <c r="CF511" s="19"/>
      <c r="CG511" s="19"/>
      <c r="CH511" s="19"/>
      <c r="CI511" s="18"/>
      <c r="CJ511" s="18"/>
      <c r="CN511" s="18"/>
      <c r="CO511" s="19"/>
      <c r="CP511" s="19"/>
      <c r="CQ511" s="19"/>
      <c r="CR511" s="19"/>
      <c r="CS511" s="19"/>
      <c r="CT511" s="19"/>
      <c r="CU511" s="20"/>
      <c r="CV511" s="20"/>
      <c r="DA511" s="18">
        <f t="shared" si="85"/>
        <v>0</v>
      </c>
      <c r="DB511" s="19">
        <f t="shared" si="86"/>
        <v>0</v>
      </c>
      <c r="DC511" s="19">
        <f t="shared" si="87"/>
        <v>0</v>
      </c>
      <c r="DD511" s="19">
        <f t="shared" si="88"/>
        <v>0</v>
      </c>
      <c r="DE511" s="19">
        <f t="shared" si="89"/>
        <v>0</v>
      </c>
      <c r="DF511" s="19">
        <f t="shared" si="90"/>
        <v>0</v>
      </c>
      <c r="DG511" s="19">
        <f t="shared" si="91"/>
        <v>0</v>
      </c>
      <c r="DH511" s="20">
        <f t="shared" si="92"/>
        <v>0</v>
      </c>
      <c r="DI511" s="20">
        <f t="shared" si="93"/>
        <v>0</v>
      </c>
    </row>
    <row r="512" spans="80:114" x14ac:dyDescent="0.3">
      <c r="CB512" s="18"/>
      <c r="CC512" s="19"/>
      <c r="CD512" s="19"/>
      <c r="CE512" s="19"/>
      <c r="CF512" s="19"/>
      <c r="CG512" s="19"/>
      <c r="CH512" s="19"/>
      <c r="CI512" s="18"/>
      <c r="CJ512" s="18"/>
      <c r="CN512" s="18"/>
      <c r="CO512" s="19"/>
      <c r="CP512" s="19"/>
      <c r="CQ512" s="19"/>
      <c r="CR512" s="19"/>
      <c r="CS512" s="19"/>
      <c r="CT512" s="19"/>
      <c r="CU512" s="20"/>
      <c r="CV512" s="20"/>
      <c r="DA512" s="18">
        <f t="shared" si="85"/>
        <v>0</v>
      </c>
      <c r="DB512" s="19">
        <f t="shared" si="86"/>
        <v>0</v>
      </c>
      <c r="DC512" s="19">
        <f t="shared" si="87"/>
        <v>0</v>
      </c>
      <c r="DD512" s="19">
        <f t="shared" si="88"/>
        <v>0</v>
      </c>
      <c r="DE512" s="19">
        <f t="shared" si="89"/>
        <v>0</v>
      </c>
      <c r="DF512" s="19">
        <f t="shared" si="90"/>
        <v>0</v>
      </c>
      <c r="DG512" s="19">
        <f t="shared" si="91"/>
        <v>0</v>
      </c>
      <c r="DH512" s="20">
        <f t="shared" si="92"/>
        <v>0</v>
      </c>
      <c r="DI512" s="20">
        <f t="shared" si="93"/>
        <v>0</v>
      </c>
    </row>
    <row r="513" spans="80:113" x14ac:dyDescent="0.3">
      <c r="CB513" s="18"/>
      <c r="CC513" s="19"/>
      <c r="CD513" s="19"/>
      <c r="CE513" s="19"/>
      <c r="CF513" s="19"/>
      <c r="CG513" s="19"/>
      <c r="CH513" s="19"/>
      <c r="CI513" s="18"/>
      <c r="CJ513" s="18"/>
      <c r="CN513" s="18"/>
      <c r="CO513" s="19"/>
      <c r="CP513" s="19"/>
      <c r="CQ513" s="19"/>
      <c r="CR513" s="19"/>
      <c r="CS513" s="19"/>
      <c r="CT513" s="19"/>
      <c r="CU513" s="20"/>
      <c r="CV513" s="20"/>
      <c r="DA513" s="18">
        <f t="shared" si="85"/>
        <v>0</v>
      </c>
      <c r="DB513" s="19">
        <f t="shared" si="86"/>
        <v>0</v>
      </c>
      <c r="DC513" s="19">
        <f t="shared" si="87"/>
        <v>0</v>
      </c>
      <c r="DD513" s="19">
        <f t="shared" si="88"/>
        <v>0</v>
      </c>
      <c r="DE513" s="19">
        <f t="shared" si="89"/>
        <v>0</v>
      </c>
      <c r="DF513" s="19">
        <f t="shared" si="90"/>
        <v>0</v>
      </c>
      <c r="DG513" s="19">
        <f t="shared" si="91"/>
        <v>0</v>
      </c>
      <c r="DH513" s="20">
        <f t="shared" si="92"/>
        <v>0</v>
      </c>
      <c r="DI513" s="20">
        <f t="shared" si="93"/>
        <v>0</v>
      </c>
    </row>
    <row r="514" spans="80:113" x14ac:dyDescent="0.3">
      <c r="CB514" s="18"/>
      <c r="CC514" s="19"/>
      <c r="CD514" s="19"/>
      <c r="CE514" s="19"/>
      <c r="CF514" s="19"/>
      <c r="CG514" s="19"/>
      <c r="CH514" s="19"/>
      <c r="CI514" s="18"/>
      <c r="CJ514" s="18"/>
      <c r="CN514" s="18"/>
      <c r="CO514" s="19"/>
      <c r="CP514" s="19"/>
      <c r="CQ514" s="19"/>
      <c r="CR514" s="19"/>
      <c r="CS514" s="19"/>
      <c r="CT514" s="19"/>
      <c r="CU514" s="20"/>
      <c r="CV514" s="20"/>
      <c r="DA514" s="18">
        <f t="shared" si="85"/>
        <v>0</v>
      </c>
      <c r="DB514" s="19">
        <f t="shared" si="86"/>
        <v>0</v>
      </c>
      <c r="DC514" s="19">
        <f t="shared" si="87"/>
        <v>0</v>
      </c>
      <c r="DD514" s="19">
        <f t="shared" si="88"/>
        <v>0</v>
      </c>
      <c r="DE514" s="19">
        <f t="shared" si="89"/>
        <v>0</v>
      </c>
      <c r="DF514" s="19">
        <f t="shared" si="90"/>
        <v>0</v>
      </c>
      <c r="DG514" s="19">
        <f t="shared" si="91"/>
        <v>0</v>
      </c>
      <c r="DH514" s="20">
        <f t="shared" si="92"/>
        <v>0</v>
      </c>
      <c r="DI514" s="20">
        <f t="shared" si="93"/>
        <v>0</v>
      </c>
    </row>
    <row r="515" spans="80:113" x14ac:dyDescent="0.3">
      <c r="CB515" s="18"/>
      <c r="CC515" s="19"/>
      <c r="CD515" s="19"/>
      <c r="CE515" s="19"/>
      <c r="CF515" s="19"/>
      <c r="CG515" s="19"/>
      <c r="CH515" s="19"/>
      <c r="CI515" s="18"/>
      <c r="CJ515" s="18"/>
      <c r="CN515" s="18"/>
      <c r="CO515" s="19"/>
      <c r="CP515" s="19"/>
      <c r="CQ515" s="19"/>
      <c r="CR515" s="19"/>
      <c r="CS515" s="19"/>
      <c r="CT515" s="19"/>
      <c r="CU515" s="20"/>
      <c r="CV515" s="20"/>
      <c r="DA515" s="18">
        <f t="shared" ref="DA515:DA578" si="94">IF($BZ$2=1,CN515,CB515)</f>
        <v>0</v>
      </c>
      <c r="DB515" s="19">
        <f t="shared" ref="DB515:DB578" si="95">IF($BZ$2=1,CO515,CC515)</f>
        <v>0</v>
      </c>
      <c r="DC515" s="19">
        <f t="shared" ref="DC515:DC578" si="96">IF($BZ$2=1,CP515,CD515)</f>
        <v>0</v>
      </c>
      <c r="DD515" s="19">
        <f t="shared" ref="DD515:DD578" si="97">IF($BZ$2=1,CQ515,CE515)</f>
        <v>0</v>
      </c>
      <c r="DE515" s="19">
        <f t="shared" ref="DE515:DE578" si="98">IF($BZ$2=1,CR515,CF515)</f>
        <v>0</v>
      </c>
      <c r="DF515" s="19">
        <f t="shared" ref="DF515:DF578" si="99">IF($BZ$2=1,CS515,CG515)</f>
        <v>0</v>
      </c>
      <c r="DG515" s="19">
        <f t="shared" ref="DG515:DG578" si="100">IF($BZ$2=1,CT515,CH515)</f>
        <v>0</v>
      </c>
      <c r="DH515" s="20">
        <f t="shared" ref="DH515:DH578" si="101">IF($BZ$2=1,CU515,CI515)</f>
        <v>0</v>
      </c>
      <c r="DI515" s="20">
        <f t="shared" ref="DI515:DI578" si="102">IF($BZ$2=1,CV515,CJ515)</f>
        <v>0</v>
      </c>
    </row>
    <row r="516" spans="80:113" x14ac:dyDescent="0.3">
      <c r="CB516" s="18"/>
      <c r="CC516" s="19"/>
      <c r="CD516" s="19"/>
      <c r="CE516" s="19"/>
      <c r="CF516" s="19"/>
      <c r="CG516" s="19"/>
      <c r="CH516" s="19"/>
      <c r="CI516" s="18"/>
      <c r="CJ516" s="18"/>
      <c r="CN516" s="18"/>
      <c r="CO516" s="19"/>
      <c r="CP516" s="19"/>
      <c r="CQ516" s="19"/>
      <c r="CR516" s="19"/>
      <c r="CS516" s="19"/>
      <c r="CT516" s="19"/>
      <c r="CU516" s="20"/>
      <c r="CV516" s="20"/>
      <c r="DA516" s="18">
        <f t="shared" si="94"/>
        <v>0</v>
      </c>
      <c r="DB516" s="19">
        <f t="shared" si="95"/>
        <v>0</v>
      </c>
      <c r="DC516" s="19">
        <f t="shared" si="96"/>
        <v>0</v>
      </c>
      <c r="DD516" s="19">
        <f t="shared" si="97"/>
        <v>0</v>
      </c>
      <c r="DE516" s="19">
        <f t="shared" si="98"/>
        <v>0</v>
      </c>
      <c r="DF516" s="19">
        <f t="shared" si="99"/>
        <v>0</v>
      </c>
      <c r="DG516" s="19">
        <f t="shared" si="100"/>
        <v>0</v>
      </c>
      <c r="DH516" s="20">
        <f t="shared" si="101"/>
        <v>0</v>
      </c>
      <c r="DI516" s="20">
        <f t="shared" si="102"/>
        <v>0</v>
      </c>
    </row>
    <row r="517" spans="80:113" x14ac:dyDescent="0.3">
      <c r="CB517" s="18"/>
      <c r="CC517" s="19"/>
      <c r="CD517" s="19"/>
      <c r="CE517" s="19"/>
      <c r="CF517" s="19"/>
      <c r="CG517" s="19"/>
      <c r="CH517" s="19"/>
      <c r="CI517" s="18"/>
      <c r="CJ517" s="18"/>
      <c r="CN517" s="18"/>
      <c r="CO517" s="19"/>
      <c r="CP517" s="19"/>
      <c r="CQ517" s="19"/>
      <c r="CR517" s="19"/>
      <c r="CS517" s="19"/>
      <c r="CT517" s="19"/>
      <c r="CU517" s="20"/>
      <c r="CV517" s="20"/>
      <c r="DA517" s="18">
        <f t="shared" si="94"/>
        <v>0</v>
      </c>
      <c r="DB517" s="19">
        <f t="shared" si="95"/>
        <v>0</v>
      </c>
      <c r="DC517" s="19">
        <f t="shared" si="96"/>
        <v>0</v>
      </c>
      <c r="DD517" s="19">
        <f t="shared" si="97"/>
        <v>0</v>
      </c>
      <c r="DE517" s="19">
        <f t="shared" si="98"/>
        <v>0</v>
      </c>
      <c r="DF517" s="19">
        <f t="shared" si="99"/>
        <v>0</v>
      </c>
      <c r="DG517" s="19">
        <f t="shared" si="100"/>
        <v>0</v>
      </c>
      <c r="DH517" s="20">
        <f t="shared" si="101"/>
        <v>0</v>
      </c>
      <c r="DI517" s="20">
        <f t="shared" si="102"/>
        <v>0</v>
      </c>
    </row>
    <row r="518" spans="80:113" x14ac:dyDescent="0.3">
      <c r="CB518" s="18"/>
      <c r="CC518" s="19"/>
      <c r="CD518" s="19"/>
      <c r="CE518" s="19"/>
      <c r="CF518" s="19"/>
      <c r="CG518" s="19"/>
      <c r="CH518" s="19"/>
      <c r="CI518" s="18"/>
      <c r="CJ518" s="18"/>
      <c r="CN518" s="18"/>
      <c r="CO518" s="19"/>
      <c r="CP518" s="19"/>
      <c r="CQ518" s="19"/>
      <c r="CR518" s="19"/>
      <c r="CS518" s="19"/>
      <c r="CT518" s="19"/>
      <c r="CU518" s="20"/>
      <c r="CV518" s="20"/>
      <c r="DA518" s="18">
        <f t="shared" si="94"/>
        <v>0</v>
      </c>
      <c r="DB518" s="19">
        <f t="shared" si="95"/>
        <v>0</v>
      </c>
      <c r="DC518" s="19">
        <f t="shared" si="96"/>
        <v>0</v>
      </c>
      <c r="DD518" s="19">
        <f t="shared" si="97"/>
        <v>0</v>
      </c>
      <c r="DE518" s="19">
        <f t="shared" si="98"/>
        <v>0</v>
      </c>
      <c r="DF518" s="19">
        <f t="shared" si="99"/>
        <v>0</v>
      </c>
      <c r="DG518" s="19">
        <f t="shared" si="100"/>
        <v>0</v>
      </c>
      <c r="DH518" s="20">
        <f t="shared" si="101"/>
        <v>0</v>
      </c>
      <c r="DI518" s="20">
        <f t="shared" si="102"/>
        <v>0</v>
      </c>
    </row>
    <row r="519" spans="80:113" x14ac:dyDescent="0.3">
      <c r="CB519" s="18"/>
      <c r="CC519" s="19"/>
      <c r="CD519" s="19"/>
      <c r="CE519" s="19"/>
      <c r="CF519" s="19"/>
      <c r="CG519" s="19"/>
      <c r="CH519" s="19"/>
      <c r="CI519" s="18"/>
      <c r="CJ519" s="18"/>
      <c r="CN519" s="18"/>
      <c r="CO519" s="19"/>
      <c r="CP519" s="19"/>
      <c r="CQ519" s="19"/>
      <c r="CR519" s="19"/>
      <c r="CS519" s="19"/>
      <c r="CT519" s="19"/>
      <c r="CU519" s="20"/>
      <c r="CV519" s="20"/>
      <c r="DA519" s="18">
        <f t="shared" si="94"/>
        <v>0</v>
      </c>
      <c r="DB519" s="19">
        <f t="shared" si="95"/>
        <v>0</v>
      </c>
      <c r="DC519" s="19">
        <f t="shared" si="96"/>
        <v>0</v>
      </c>
      <c r="DD519" s="19">
        <f t="shared" si="97"/>
        <v>0</v>
      </c>
      <c r="DE519" s="19">
        <f t="shared" si="98"/>
        <v>0</v>
      </c>
      <c r="DF519" s="19">
        <f t="shared" si="99"/>
        <v>0</v>
      </c>
      <c r="DG519" s="19">
        <f t="shared" si="100"/>
        <v>0</v>
      </c>
      <c r="DH519" s="20">
        <f t="shared" si="101"/>
        <v>0</v>
      </c>
      <c r="DI519" s="20">
        <f t="shared" si="102"/>
        <v>0</v>
      </c>
    </row>
    <row r="520" spans="80:113" x14ac:dyDescent="0.3">
      <c r="CB520" s="18"/>
      <c r="CC520" s="19"/>
      <c r="CD520" s="19"/>
      <c r="CE520" s="19"/>
      <c r="CF520" s="19"/>
      <c r="CG520" s="19"/>
      <c r="CH520" s="19"/>
      <c r="CI520" s="18"/>
      <c r="CJ520" s="18"/>
      <c r="CN520" s="18"/>
      <c r="CO520" s="19"/>
      <c r="CP520" s="19"/>
      <c r="CQ520" s="19"/>
      <c r="CR520" s="19"/>
      <c r="CS520" s="19"/>
      <c r="CT520" s="19"/>
      <c r="CU520" s="20"/>
      <c r="CV520" s="20"/>
      <c r="DA520" s="18">
        <f t="shared" si="94"/>
        <v>0</v>
      </c>
      <c r="DB520" s="19">
        <f t="shared" si="95"/>
        <v>0</v>
      </c>
      <c r="DC520" s="19">
        <f t="shared" si="96"/>
        <v>0</v>
      </c>
      <c r="DD520" s="19">
        <f t="shared" si="97"/>
        <v>0</v>
      </c>
      <c r="DE520" s="19">
        <f t="shared" si="98"/>
        <v>0</v>
      </c>
      <c r="DF520" s="19">
        <f t="shared" si="99"/>
        <v>0</v>
      </c>
      <c r="DG520" s="19">
        <f t="shared" si="100"/>
        <v>0</v>
      </c>
      <c r="DH520" s="20">
        <f t="shared" si="101"/>
        <v>0</v>
      </c>
      <c r="DI520" s="20">
        <f t="shared" si="102"/>
        <v>0</v>
      </c>
    </row>
    <row r="521" spans="80:113" x14ac:dyDescent="0.3">
      <c r="CB521" s="18"/>
      <c r="CC521" s="19"/>
      <c r="CD521" s="19"/>
      <c r="CE521" s="19"/>
      <c r="CF521" s="19"/>
      <c r="CG521" s="19"/>
      <c r="CH521" s="19"/>
      <c r="CI521" s="18"/>
      <c r="CJ521" s="18"/>
      <c r="CN521" s="18"/>
      <c r="CO521" s="19"/>
      <c r="CP521" s="19"/>
      <c r="CQ521" s="19"/>
      <c r="CR521" s="19"/>
      <c r="CS521" s="19"/>
      <c r="CT521" s="19"/>
      <c r="CU521" s="20"/>
      <c r="CV521" s="20"/>
      <c r="DA521" s="18">
        <f t="shared" si="94"/>
        <v>0</v>
      </c>
      <c r="DB521" s="19">
        <f t="shared" si="95"/>
        <v>0</v>
      </c>
      <c r="DC521" s="19">
        <f t="shared" si="96"/>
        <v>0</v>
      </c>
      <c r="DD521" s="19">
        <f t="shared" si="97"/>
        <v>0</v>
      </c>
      <c r="DE521" s="19">
        <f t="shared" si="98"/>
        <v>0</v>
      </c>
      <c r="DF521" s="19">
        <f t="shared" si="99"/>
        <v>0</v>
      </c>
      <c r="DG521" s="19">
        <f t="shared" si="100"/>
        <v>0</v>
      </c>
      <c r="DH521" s="20">
        <f t="shared" si="101"/>
        <v>0</v>
      </c>
      <c r="DI521" s="20">
        <f t="shared" si="102"/>
        <v>0</v>
      </c>
    </row>
    <row r="522" spans="80:113" x14ac:dyDescent="0.3">
      <c r="CB522" s="18"/>
      <c r="CC522" s="19"/>
      <c r="CD522" s="19"/>
      <c r="CE522" s="19"/>
      <c r="CF522" s="19"/>
      <c r="CG522" s="19"/>
      <c r="CH522" s="19"/>
      <c r="CI522" s="18"/>
      <c r="CJ522" s="18"/>
      <c r="CN522" s="18"/>
      <c r="CO522" s="19"/>
      <c r="CP522" s="19"/>
      <c r="CQ522" s="19"/>
      <c r="CR522" s="19"/>
      <c r="CS522" s="19"/>
      <c r="CT522" s="19"/>
      <c r="CU522" s="20"/>
      <c r="CV522" s="20"/>
      <c r="DA522" s="18">
        <f t="shared" si="94"/>
        <v>0</v>
      </c>
      <c r="DB522" s="19">
        <f t="shared" si="95"/>
        <v>0</v>
      </c>
      <c r="DC522" s="19">
        <f t="shared" si="96"/>
        <v>0</v>
      </c>
      <c r="DD522" s="19">
        <f t="shared" si="97"/>
        <v>0</v>
      </c>
      <c r="DE522" s="19">
        <f t="shared" si="98"/>
        <v>0</v>
      </c>
      <c r="DF522" s="19">
        <f t="shared" si="99"/>
        <v>0</v>
      </c>
      <c r="DG522" s="19">
        <f t="shared" si="100"/>
        <v>0</v>
      </c>
      <c r="DH522" s="20">
        <f t="shared" si="101"/>
        <v>0</v>
      </c>
      <c r="DI522" s="20">
        <f t="shared" si="102"/>
        <v>0</v>
      </c>
    </row>
    <row r="523" spans="80:113" x14ac:dyDescent="0.3">
      <c r="CB523" s="18"/>
      <c r="CC523" s="19"/>
      <c r="CD523" s="19"/>
      <c r="CE523" s="19"/>
      <c r="CF523" s="19"/>
      <c r="CG523" s="19"/>
      <c r="CH523" s="19"/>
      <c r="CI523" s="18"/>
      <c r="CJ523" s="18"/>
      <c r="CN523" s="18"/>
      <c r="CO523" s="19"/>
      <c r="CP523" s="19"/>
      <c r="CQ523" s="19"/>
      <c r="CR523" s="19"/>
      <c r="CS523" s="19"/>
      <c r="CT523" s="19"/>
      <c r="CU523" s="20"/>
      <c r="CV523" s="20"/>
      <c r="DA523" s="18">
        <f t="shared" si="94"/>
        <v>0</v>
      </c>
      <c r="DB523" s="19">
        <f t="shared" si="95"/>
        <v>0</v>
      </c>
      <c r="DC523" s="19">
        <f t="shared" si="96"/>
        <v>0</v>
      </c>
      <c r="DD523" s="19">
        <f t="shared" si="97"/>
        <v>0</v>
      </c>
      <c r="DE523" s="19">
        <f t="shared" si="98"/>
        <v>0</v>
      </c>
      <c r="DF523" s="19">
        <f t="shared" si="99"/>
        <v>0</v>
      </c>
      <c r="DG523" s="19">
        <f t="shared" si="100"/>
        <v>0</v>
      </c>
      <c r="DH523" s="20">
        <f t="shared" si="101"/>
        <v>0</v>
      </c>
      <c r="DI523" s="20">
        <f t="shared" si="102"/>
        <v>0</v>
      </c>
    </row>
    <row r="524" spans="80:113" x14ac:dyDescent="0.3">
      <c r="CB524" s="18"/>
      <c r="CC524" s="19"/>
      <c r="CD524" s="19"/>
      <c r="CE524" s="19"/>
      <c r="CF524" s="19"/>
      <c r="CG524" s="19"/>
      <c r="CH524" s="19"/>
      <c r="CI524" s="18"/>
      <c r="CJ524" s="18"/>
      <c r="CN524" s="18"/>
      <c r="CO524" s="19"/>
      <c r="CP524" s="19"/>
      <c r="CQ524" s="19"/>
      <c r="CR524" s="19"/>
      <c r="CS524" s="19"/>
      <c r="CT524" s="19"/>
      <c r="CU524" s="20"/>
      <c r="CV524" s="20"/>
      <c r="DA524" s="18">
        <f t="shared" si="94"/>
        <v>0</v>
      </c>
      <c r="DB524" s="19">
        <f t="shared" si="95"/>
        <v>0</v>
      </c>
      <c r="DC524" s="19">
        <f t="shared" si="96"/>
        <v>0</v>
      </c>
      <c r="DD524" s="19">
        <f t="shared" si="97"/>
        <v>0</v>
      </c>
      <c r="DE524" s="19">
        <f t="shared" si="98"/>
        <v>0</v>
      </c>
      <c r="DF524" s="19">
        <f t="shared" si="99"/>
        <v>0</v>
      </c>
      <c r="DG524" s="19">
        <f t="shared" si="100"/>
        <v>0</v>
      </c>
      <c r="DH524" s="20">
        <f t="shared" si="101"/>
        <v>0</v>
      </c>
      <c r="DI524" s="20">
        <f t="shared" si="102"/>
        <v>0</v>
      </c>
    </row>
    <row r="525" spans="80:113" x14ac:dyDescent="0.3">
      <c r="CB525" s="18"/>
      <c r="CC525" s="19"/>
      <c r="CD525" s="19"/>
      <c r="CE525" s="19"/>
      <c r="CF525" s="19"/>
      <c r="CG525" s="19"/>
      <c r="CH525" s="19"/>
      <c r="CI525" s="18"/>
      <c r="CJ525" s="18"/>
      <c r="CN525" s="18"/>
      <c r="CO525" s="19"/>
      <c r="CP525" s="19"/>
      <c r="CQ525" s="19"/>
      <c r="CR525" s="19"/>
      <c r="CS525" s="19"/>
      <c r="CT525" s="19"/>
      <c r="CU525" s="20"/>
      <c r="CV525" s="20"/>
      <c r="DA525" s="18">
        <f t="shared" si="94"/>
        <v>0</v>
      </c>
      <c r="DB525" s="19">
        <f t="shared" si="95"/>
        <v>0</v>
      </c>
      <c r="DC525" s="19">
        <f t="shared" si="96"/>
        <v>0</v>
      </c>
      <c r="DD525" s="19">
        <f t="shared" si="97"/>
        <v>0</v>
      </c>
      <c r="DE525" s="19">
        <f t="shared" si="98"/>
        <v>0</v>
      </c>
      <c r="DF525" s="19">
        <f t="shared" si="99"/>
        <v>0</v>
      </c>
      <c r="DG525" s="19">
        <f t="shared" si="100"/>
        <v>0</v>
      </c>
      <c r="DH525" s="20">
        <f t="shared" si="101"/>
        <v>0</v>
      </c>
      <c r="DI525" s="20">
        <f t="shared" si="102"/>
        <v>0</v>
      </c>
    </row>
    <row r="526" spans="80:113" x14ac:dyDescent="0.3">
      <c r="CB526" s="18"/>
      <c r="CC526" s="19"/>
      <c r="CD526" s="19"/>
      <c r="CE526" s="19"/>
      <c r="CF526" s="19"/>
      <c r="CG526" s="19"/>
      <c r="CH526" s="19"/>
      <c r="CI526" s="18"/>
      <c r="CJ526" s="18"/>
      <c r="CN526" s="18"/>
      <c r="CO526" s="19"/>
      <c r="CP526" s="19"/>
      <c r="CQ526" s="19"/>
      <c r="CR526" s="19"/>
      <c r="CS526" s="19"/>
      <c r="CT526" s="19"/>
      <c r="CU526" s="20"/>
      <c r="CV526" s="20"/>
      <c r="DA526" s="18">
        <f t="shared" si="94"/>
        <v>0</v>
      </c>
      <c r="DB526" s="19">
        <f t="shared" si="95"/>
        <v>0</v>
      </c>
      <c r="DC526" s="19">
        <f t="shared" si="96"/>
        <v>0</v>
      </c>
      <c r="DD526" s="19">
        <f t="shared" si="97"/>
        <v>0</v>
      </c>
      <c r="DE526" s="19">
        <f t="shared" si="98"/>
        <v>0</v>
      </c>
      <c r="DF526" s="19">
        <f t="shared" si="99"/>
        <v>0</v>
      </c>
      <c r="DG526" s="19">
        <f t="shared" si="100"/>
        <v>0</v>
      </c>
      <c r="DH526" s="20">
        <f t="shared" si="101"/>
        <v>0</v>
      </c>
      <c r="DI526" s="20">
        <f t="shared" si="102"/>
        <v>0</v>
      </c>
    </row>
    <row r="527" spans="80:113" x14ac:dyDescent="0.3">
      <c r="CB527" s="18"/>
      <c r="CC527" s="19"/>
      <c r="CD527" s="19"/>
      <c r="CE527" s="19"/>
      <c r="CF527" s="19"/>
      <c r="CG527" s="19"/>
      <c r="CH527" s="19"/>
      <c r="CI527" s="18"/>
      <c r="CJ527" s="18"/>
      <c r="CN527" s="18"/>
      <c r="CO527" s="19"/>
      <c r="CP527" s="19"/>
      <c r="CQ527" s="19"/>
      <c r="CR527" s="19"/>
      <c r="CS527" s="19"/>
      <c r="CT527" s="19"/>
      <c r="CU527" s="20"/>
      <c r="CV527" s="20"/>
      <c r="DA527" s="18">
        <f t="shared" si="94"/>
        <v>0</v>
      </c>
      <c r="DB527" s="19">
        <f t="shared" si="95"/>
        <v>0</v>
      </c>
      <c r="DC527" s="19">
        <f t="shared" si="96"/>
        <v>0</v>
      </c>
      <c r="DD527" s="19">
        <f t="shared" si="97"/>
        <v>0</v>
      </c>
      <c r="DE527" s="19">
        <f t="shared" si="98"/>
        <v>0</v>
      </c>
      <c r="DF527" s="19">
        <f t="shared" si="99"/>
        <v>0</v>
      </c>
      <c r="DG527" s="19">
        <f t="shared" si="100"/>
        <v>0</v>
      </c>
      <c r="DH527" s="20">
        <f t="shared" si="101"/>
        <v>0</v>
      </c>
      <c r="DI527" s="20">
        <f t="shared" si="102"/>
        <v>0</v>
      </c>
    </row>
    <row r="528" spans="80:113" x14ac:dyDescent="0.3">
      <c r="CB528" s="18"/>
      <c r="CC528" s="19"/>
      <c r="CD528" s="19"/>
      <c r="CE528" s="19"/>
      <c r="CF528" s="19"/>
      <c r="CG528" s="19"/>
      <c r="CH528" s="19"/>
      <c r="CI528" s="18"/>
      <c r="CJ528" s="18"/>
      <c r="CN528" s="18"/>
      <c r="CO528" s="19"/>
      <c r="CP528" s="19"/>
      <c r="CQ528" s="19"/>
      <c r="CR528" s="19"/>
      <c r="CS528" s="19"/>
      <c r="CT528" s="19"/>
      <c r="CU528" s="20"/>
      <c r="CV528" s="20"/>
      <c r="DA528" s="18">
        <f t="shared" si="94"/>
        <v>0</v>
      </c>
      <c r="DB528" s="19">
        <f t="shared" si="95"/>
        <v>0</v>
      </c>
      <c r="DC528" s="19">
        <f t="shared" si="96"/>
        <v>0</v>
      </c>
      <c r="DD528" s="19">
        <f t="shared" si="97"/>
        <v>0</v>
      </c>
      <c r="DE528" s="19">
        <f t="shared" si="98"/>
        <v>0</v>
      </c>
      <c r="DF528" s="19">
        <f t="shared" si="99"/>
        <v>0</v>
      </c>
      <c r="DG528" s="19">
        <f t="shared" si="100"/>
        <v>0</v>
      </c>
      <c r="DH528" s="20">
        <f t="shared" si="101"/>
        <v>0</v>
      </c>
      <c r="DI528" s="20">
        <f t="shared" si="102"/>
        <v>0</v>
      </c>
    </row>
    <row r="529" spans="80:113" x14ac:dyDescent="0.3">
      <c r="CB529" s="18"/>
      <c r="CC529" s="19"/>
      <c r="CD529" s="19"/>
      <c r="CE529" s="19"/>
      <c r="CF529" s="19"/>
      <c r="CG529" s="19"/>
      <c r="CH529" s="19"/>
      <c r="CI529" s="18"/>
      <c r="CJ529" s="18"/>
      <c r="CN529" s="18"/>
      <c r="CO529" s="19"/>
      <c r="CP529" s="19"/>
      <c r="CQ529" s="19"/>
      <c r="CR529" s="19"/>
      <c r="CS529" s="19"/>
      <c r="CT529" s="19"/>
      <c r="CU529" s="20"/>
      <c r="CV529" s="20"/>
      <c r="DA529" s="18">
        <f t="shared" si="94"/>
        <v>0</v>
      </c>
      <c r="DB529" s="19">
        <f t="shared" si="95"/>
        <v>0</v>
      </c>
      <c r="DC529" s="19">
        <f t="shared" si="96"/>
        <v>0</v>
      </c>
      <c r="DD529" s="19">
        <f t="shared" si="97"/>
        <v>0</v>
      </c>
      <c r="DE529" s="19">
        <f t="shared" si="98"/>
        <v>0</v>
      </c>
      <c r="DF529" s="19">
        <f t="shared" si="99"/>
        <v>0</v>
      </c>
      <c r="DG529" s="19">
        <f t="shared" si="100"/>
        <v>0</v>
      </c>
      <c r="DH529" s="20">
        <f t="shared" si="101"/>
        <v>0</v>
      </c>
      <c r="DI529" s="20">
        <f t="shared" si="102"/>
        <v>0</v>
      </c>
    </row>
    <row r="530" spans="80:113" x14ac:dyDescent="0.3">
      <c r="CB530" s="18"/>
      <c r="CC530" s="19"/>
      <c r="CD530" s="19"/>
      <c r="CE530" s="19"/>
      <c r="CF530" s="19"/>
      <c r="CG530" s="19"/>
      <c r="CH530" s="19"/>
      <c r="CI530" s="18"/>
      <c r="CJ530" s="18"/>
      <c r="CN530" s="18"/>
      <c r="CO530" s="19"/>
      <c r="CP530" s="19"/>
      <c r="CQ530" s="19"/>
      <c r="CR530" s="19"/>
      <c r="CS530" s="19"/>
      <c r="CT530" s="19"/>
      <c r="CU530" s="20"/>
      <c r="CV530" s="20"/>
      <c r="DA530" s="18">
        <f t="shared" si="94"/>
        <v>0</v>
      </c>
      <c r="DB530" s="19">
        <f t="shared" si="95"/>
        <v>0</v>
      </c>
      <c r="DC530" s="19">
        <f t="shared" si="96"/>
        <v>0</v>
      </c>
      <c r="DD530" s="19">
        <f t="shared" si="97"/>
        <v>0</v>
      </c>
      <c r="DE530" s="19">
        <f t="shared" si="98"/>
        <v>0</v>
      </c>
      <c r="DF530" s="19">
        <f t="shared" si="99"/>
        <v>0</v>
      </c>
      <c r="DG530" s="19">
        <f t="shared" si="100"/>
        <v>0</v>
      </c>
      <c r="DH530" s="20">
        <f t="shared" si="101"/>
        <v>0</v>
      </c>
      <c r="DI530" s="20">
        <f t="shared" si="102"/>
        <v>0</v>
      </c>
    </row>
    <row r="531" spans="80:113" x14ac:dyDescent="0.3">
      <c r="CB531" s="18"/>
      <c r="CC531" s="19"/>
      <c r="CD531" s="19"/>
      <c r="CE531" s="19"/>
      <c r="CF531" s="19"/>
      <c r="CG531" s="19"/>
      <c r="CH531" s="19"/>
      <c r="CI531" s="18"/>
      <c r="CJ531" s="18"/>
      <c r="CN531" s="18"/>
      <c r="CO531" s="19"/>
      <c r="CP531" s="19"/>
      <c r="CQ531" s="19"/>
      <c r="CR531" s="19"/>
      <c r="CS531" s="19"/>
      <c r="CT531" s="19"/>
      <c r="CU531" s="20"/>
      <c r="CV531" s="20"/>
      <c r="DA531" s="18">
        <f t="shared" si="94"/>
        <v>0</v>
      </c>
      <c r="DB531" s="19">
        <f t="shared" si="95"/>
        <v>0</v>
      </c>
      <c r="DC531" s="19">
        <f t="shared" si="96"/>
        <v>0</v>
      </c>
      <c r="DD531" s="19">
        <f t="shared" si="97"/>
        <v>0</v>
      </c>
      <c r="DE531" s="19">
        <f t="shared" si="98"/>
        <v>0</v>
      </c>
      <c r="DF531" s="19">
        <f t="shared" si="99"/>
        <v>0</v>
      </c>
      <c r="DG531" s="19">
        <f t="shared" si="100"/>
        <v>0</v>
      </c>
      <c r="DH531" s="20">
        <f t="shared" si="101"/>
        <v>0</v>
      </c>
      <c r="DI531" s="20">
        <f t="shared" si="102"/>
        <v>0</v>
      </c>
    </row>
    <row r="532" spans="80:113" x14ac:dyDescent="0.3">
      <c r="CB532" s="18"/>
      <c r="CC532" s="19"/>
      <c r="CD532" s="19"/>
      <c r="CE532" s="19"/>
      <c r="CF532" s="19"/>
      <c r="CG532" s="19"/>
      <c r="CH532" s="19"/>
      <c r="CI532" s="18"/>
      <c r="CJ532" s="18"/>
      <c r="CN532" s="18"/>
      <c r="CO532" s="19"/>
      <c r="CP532" s="19"/>
      <c r="CQ532" s="19"/>
      <c r="CR532" s="19"/>
      <c r="CS532" s="19"/>
      <c r="CT532" s="19"/>
      <c r="CU532" s="20"/>
      <c r="CV532" s="20"/>
      <c r="DA532" s="18">
        <f t="shared" si="94"/>
        <v>0</v>
      </c>
      <c r="DB532" s="19">
        <f t="shared" si="95"/>
        <v>0</v>
      </c>
      <c r="DC532" s="19">
        <f t="shared" si="96"/>
        <v>0</v>
      </c>
      <c r="DD532" s="19">
        <f t="shared" si="97"/>
        <v>0</v>
      </c>
      <c r="DE532" s="19">
        <f t="shared" si="98"/>
        <v>0</v>
      </c>
      <c r="DF532" s="19">
        <f t="shared" si="99"/>
        <v>0</v>
      </c>
      <c r="DG532" s="19">
        <f t="shared" si="100"/>
        <v>0</v>
      </c>
      <c r="DH532" s="20">
        <f t="shared" si="101"/>
        <v>0</v>
      </c>
      <c r="DI532" s="20">
        <f t="shared" si="102"/>
        <v>0</v>
      </c>
    </row>
    <row r="533" spans="80:113" x14ac:dyDescent="0.3">
      <c r="CB533" s="18"/>
      <c r="CC533" s="19"/>
      <c r="CD533" s="19"/>
      <c r="CE533" s="19"/>
      <c r="CF533" s="19"/>
      <c r="CG533" s="19"/>
      <c r="CH533" s="19"/>
      <c r="CI533" s="18"/>
      <c r="CJ533" s="18"/>
      <c r="CN533" s="18"/>
      <c r="CO533" s="19"/>
      <c r="CP533" s="19"/>
      <c r="CQ533" s="19"/>
      <c r="CR533" s="19"/>
      <c r="CS533" s="19"/>
      <c r="CT533" s="19"/>
      <c r="CU533" s="20"/>
      <c r="CV533" s="20"/>
      <c r="DA533" s="18">
        <f t="shared" si="94"/>
        <v>0</v>
      </c>
      <c r="DB533" s="19">
        <f t="shared" si="95"/>
        <v>0</v>
      </c>
      <c r="DC533" s="19">
        <f t="shared" si="96"/>
        <v>0</v>
      </c>
      <c r="DD533" s="19">
        <f t="shared" si="97"/>
        <v>0</v>
      </c>
      <c r="DE533" s="19">
        <f t="shared" si="98"/>
        <v>0</v>
      </c>
      <c r="DF533" s="19">
        <f t="shared" si="99"/>
        <v>0</v>
      </c>
      <c r="DG533" s="19">
        <f t="shared" si="100"/>
        <v>0</v>
      </c>
      <c r="DH533" s="20">
        <f t="shared" si="101"/>
        <v>0</v>
      </c>
      <c r="DI533" s="20">
        <f t="shared" si="102"/>
        <v>0</v>
      </c>
    </row>
    <row r="534" spans="80:113" x14ac:dyDescent="0.3">
      <c r="CB534" s="18"/>
      <c r="CC534" s="19"/>
      <c r="CD534" s="19"/>
      <c r="CE534" s="19"/>
      <c r="CF534" s="19"/>
      <c r="CG534" s="19"/>
      <c r="CH534" s="19"/>
      <c r="CI534" s="18"/>
      <c r="CJ534" s="18"/>
      <c r="CN534" s="18"/>
      <c r="CO534" s="19"/>
      <c r="CP534" s="19"/>
      <c r="CQ534" s="19"/>
      <c r="CR534" s="19"/>
      <c r="CS534" s="19"/>
      <c r="CT534" s="19"/>
      <c r="CU534" s="20"/>
      <c r="CV534" s="20"/>
      <c r="DA534" s="18">
        <f t="shared" si="94"/>
        <v>0</v>
      </c>
      <c r="DB534" s="19">
        <f t="shared" si="95"/>
        <v>0</v>
      </c>
      <c r="DC534" s="19">
        <f t="shared" si="96"/>
        <v>0</v>
      </c>
      <c r="DD534" s="19">
        <f t="shared" si="97"/>
        <v>0</v>
      </c>
      <c r="DE534" s="19">
        <f t="shared" si="98"/>
        <v>0</v>
      </c>
      <c r="DF534" s="19">
        <f t="shared" si="99"/>
        <v>0</v>
      </c>
      <c r="DG534" s="19">
        <f t="shared" si="100"/>
        <v>0</v>
      </c>
      <c r="DH534" s="20">
        <f t="shared" si="101"/>
        <v>0</v>
      </c>
      <c r="DI534" s="20">
        <f t="shared" si="102"/>
        <v>0</v>
      </c>
    </row>
    <row r="535" spans="80:113" x14ac:dyDescent="0.3">
      <c r="CB535" s="18"/>
      <c r="CC535" s="19"/>
      <c r="CD535" s="19"/>
      <c r="CE535" s="19"/>
      <c r="CF535" s="19"/>
      <c r="CG535" s="19"/>
      <c r="CH535" s="19"/>
      <c r="CI535" s="18"/>
      <c r="CJ535" s="18"/>
      <c r="CN535" s="18"/>
      <c r="CO535" s="19"/>
      <c r="CP535" s="19"/>
      <c r="CQ535" s="19"/>
      <c r="CR535" s="19"/>
      <c r="CS535" s="19"/>
      <c r="CT535" s="19"/>
      <c r="CU535" s="20"/>
      <c r="CV535" s="20"/>
      <c r="DA535" s="18">
        <f t="shared" si="94"/>
        <v>0</v>
      </c>
      <c r="DB535" s="19">
        <f t="shared" si="95"/>
        <v>0</v>
      </c>
      <c r="DC535" s="19">
        <f t="shared" si="96"/>
        <v>0</v>
      </c>
      <c r="DD535" s="19">
        <f t="shared" si="97"/>
        <v>0</v>
      </c>
      <c r="DE535" s="19">
        <f t="shared" si="98"/>
        <v>0</v>
      </c>
      <c r="DF535" s="19">
        <f t="shared" si="99"/>
        <v>0</v>
      </c>
      <c r="DG535" s="19">
        <f t="shared" si="100"/>
        <v>0</v>
      </c>
      <c r="DH535" s="20">
        <f t="shared" si="101"/>
        <v>0</v>
      </c>
      <c r="DI535" s="20">
        <f t="shared" si="102"/>
        <v>0</v>
      </c>
    </row>
    <row r="536" spans="80:113" x14ac:dyDescent="0.3">
      <c r="CB536" s="18"/>
      <c r="CC536" s="19"/>
      <c r="CD536" s="19"/>
      <c r="CE536" s="19"/>
      <c r="CF536" s="19"/>
      <c r="CG536" s="19"/>
      <c r="CH536" s="19"/>
      <c r="CI536" s="18"/>
      <c r="CJ536" s="18"/>
      <c r="CN536" s="18"/>
      <c r="CO536" s="19"/>
      <c r="CP536" s="19"/>
      <c r="CQ536" s="19"/>
      <c r="CR536" s="19"/>
      <c r="CS536" s="19"/>
      <c r="CT536" s="19"/>
      <c r="CU536" s="20"/>
      <c r="CV536" s="20"/>
      <c r="DA536" s="18">
        <f t="shared" si="94"/>
        <v>0</v>
      </c>
      <c r="DB536" s="19">
        <f t="shared" si="95"/>
        <v>0</v>
      </c>
      <c r="DC536" s="19">
        <f t="shared" si="96"/>
        <v>0</v>
      </c>
      <c r="DD536" s="19">
        <f t="shared" si="97"/>
        <v>0</v>
      </c>
      <c r="DE536" s="19">
        <f t="shared" si="98"/>
        <v>0</v>
      </c>
      <c r="DF536" s="19">
        <f t="shared" si="99"/>
        <v>0</v>
      </c>
      <c r="DG536" s="19">
        <f t="shared" si="100"/>
        <v>0</v>
      </c>
      <c r="DH536" s="20">
        <f t="shared" si="101"/>
        <v>0</v>
      </c>
      <c r="DI536" s="20">
        <f t="shared" si="102"/>
        <v>0</v>
      </c>
    </row>
    <row r="537" spans="80:113" x14ac:dyDescent="0.3">
      <c r="CB537" s="18"/>
      <c r="CC537" s="19"/>
      <c r="CD537" s="19"/>
      <c r="CE537" s="19"/>
      <c r="CF537" s="19"/>
      <c r="CG537" s="19"/>
      <c r="CH537" s="19"/>
      <c r="CI537" s="18"/>
      <c r="CJ537" s="18"/>
      <c r="CN537" s="18"/>
      <c r="CO537" s="19"/>
      <c r="CP537" s="19"/>
      <c r="CQ537" s="19"/>
      <c r="CR537" s="19"/>
      <c r="CS537" s="19"/>
      <c r="CT537" s="19"/>
      <c r="CU537" s="20"/>
      <c r="CV537" s="20"/>
      <c r="DA537" s="18">
        <f t="shared" si="94"/>
        <v>0</v>
      </c>
      <c r="DB537" s="19">
        <f t="shared" si="95"/>
        <v>0</v>
      </c>
      <c r="DC537" s="19">
        <f t="shared" si="96"/>
        <v>0</v>
      </c>
      <c r="DD537" s="19">
        <f t="shared" si="97"/>
        <v>0</v>
      </c>
      <c r="DE537" s="19">
        <f t="shared" si="98"/>
        <v>0</v>
      </c>
      <c r="DF537" s="19">
        <f t="shared" si="99"/>
        <v>0</v>
      </c>
      <c r="DG537" s="19">
        <f t="shared" si="100"/>
        <v>0</v>
      </c>
      <c r="DH537" s="20">
        <f t="shared" si="101"/>
        <v>0</v>
      </c>
      <c r="DI537" s="20">
        <f t="shared" si="102"/>
        <v>0</v>
      </c>
    </row>
    <row r="538" spans="80:113" x14ac:dyDescent="0.3">
      <c r="CB538" s="18"/>
      <c r="CC538" s="19"/>
      <c r="CD538" s="19"/>
      <c r="CE538" s="19"/>
      <c r="CF538" s="19"/>
      <c r="CG538" s="19"/>
      <c r="CH538" s="19"/>
      <c r="CI538" s="18"/>
      <c r="CJ538" s="18"/>
      <c r="CN538" s="18"/>
      <c r="CO538" s="19"/>
      <c r="CP538" s="19"/>
      <c r="CQ538" s="19"/>
      <c r="CR538" s="19"/>
      <c r="CS538" s="19"/>
      <c r="CT538" s="19"/>
      <c r="CU538" s="20"/>
      <c r="CV538" s="20"/>
      <c r="DA538" s="18">
        <f t="shared" si="94"/>
        <v>0</v>
      </c>
      <c r="DB538" s="19">
        <f t="shared" si="95"/>
        <v>0</v>
      </c>
      <c r="DC538" s="19">
        <f t="shared" si="96"/>
        <v>0</v>
      </c>
      <c r="DD538" s="19">
        <f t="shared" si="97"/>
        <v>0</v>
      </c>
      <c r="DE538" s="19">
        <f t="shared" si="98"/>
        <v>0</v>
      </c>
      <c r="DF538" s="19">
        <f t="shared" si="99"/>
        <v>0</v>
      </c>
      <c r="DG538" s="19">
        <f t="shared" si="100"/>
        <v>0</v>
      </c>
      <c r="DH538" s="20">
        <f t="shared" si="101"/>
        <v>0</v>
      </c>
      <c r="DI538" s="20">
        <f t="shared" si="102"/>
        <v>0</v>
      </c>
    </row>
    <row r="539" spans="80:113" x14ac:dyDescent="0.3">
      <c r="CB539" s="18"/>
      <c r="CC539" s="19"/>
      <c r="CD539" s="19"/>
      <c r="CE539" s="19"/>
      <c r="CF539" s="19"/>
      <c r="CG539" s="19"/>
      <c r="CH539" s="19"/>
      <c r="CI539" s="18"/>
      <c r="CJ539" s="18"/>
      <c r="CN539" s="18"/>
      <c r="CO539" s="19"/>
      <c r="CP539" s="19"/>
      <c r="CQ539" s="19"/>
      <c r="CR539" s="19"/>
      <c r="CS539" s="19"/>
      <c r="CT539" s="19"/>
      <c r="CU539" s="20"/>
      <c r="CV539" s="20"/>
      <c r="DA539" s="18">
        <f t="shared" si="94"/>
        <v>0</v>
      </c>
      <c r="DB539" s="19">
        <f t="shared" si="95"/>
        <v>0</v>
      </c>
      <c r="DC539" s="19">
        <f t="shared" si="96"/>
        <v>0</v>
      </c>
      <c r="DD539" s="19">
        <f t="shared" si="97"/>
        <v>0</v>
      </c>
      <c r="DE539" s="19">
        <f t="shared" si="98"/>
        <v>0</v>
      </c>
      <c r="DF539" s="19">
        <f t="shared" si="99"/>
        <v>0</v>
      </c>
      <c r="DG539" s="19">
        <f t="shared" si="100"/>
        <v>0</v>
      </c>
      <c r="DH539" s="20">
        <f t="shared" si="101"/>
        <v>0</v>
      </c>
      <c r="DI539" s="20">
        <f t="shared" si="102"/>
        <v>0</v>
      </c>
    </row>
    <row r="540" spans="80:113" x14ac:dyDescent="0.3">
      <c r="CB540" s="18"/>
      <c r="CC540" s="19"/>
      <c r="CD540" s="19"/>
      <c r="CE540" s="19"/>
      <c r="CF540" s="19"/>
      <c r="CG540" s="19"/>
      <c r="CH540" s="19"/>
      <c r="CI540" s="18"/>
      <c r="CJ540" s="18"/>
      <c r="CN540" s="18"/>
      <c r="CO540" s="19"/>
      <c r="CP540" s="19"/>
      <c r="CQ540" s="19"/>
      <c r="CR540" s="19"/>
      <c r="CS540" s="19"/>
      <c r="CT540" s="19"/>
      <c r="CU540" s="20"/>
      <c r="CV540" s="20"/>
      <c r="DA540" s="18">
        <f t="shared" si="94"/>
        <v>0</v>
      </c>
      <c r="DB540" s="19">
        <f t="shared" si="95"/>
        <v>0</v>
      </c>
      <c r="DC540" s="19">
        <f t="shared" si="96"/>
        <v>0</v>
      </c>
      <c r="DD540" s="19">
        <f t="shared" si="97"/>
        <v>0</v>
      </c>
      <c r="DE540" s="19">
        <f t="shared" si="98"/>
        <v>0</v>
      </c>
      <c r="DF540" s="19">
        <f t="shared" si="99"/>
        <v>0</v>
      </c>
      <c r="DG540" s="19">
        <f t="shared" si="100"/>
        <v>0</v>
      </c>
      <c r="DH540" s="20">
        <f t="shared" si="101"/>
        <v>0</v>
      </c>
      <c r="DI540" s="20">
        <f t="shared" si="102"/>
        <v>0</v>
      </c>
    </row>
    <row r="541" spans="80:113" x14ac:dyDescent="0.3">
      <c r="CB541" s="18"/>
      <c r="CC541" s="19"/>
      <c r="CD541" s="19"/>
      <c r="CE541" s="19"/>
      <c r="CF541" s="19"/>
      <c r="CG541" s="19"/>
      <c r="CH541" s="19"/>
      <c r="CI541" s="18"/>
      <c r="CJ541" s="18"/>
      <c r="CN541" s="18"/>
      <c r="CO541" s="19"/>
      <c r="CP541" s="19"/>
      <c r="CQ541" s="19"/>
      <c r="CR541" s="19"/>
      <c r="CS541" s="19"/>
      <c r="CT541" s="19"/>
      <c r="CU541" s="20"/>
      <c r="CV541" s="20"/>
      <c r="DA541" s="18">
        <f t="shared" si="94"/>
        <v>0</v>
      </c>
      <c r="DB541" s="19">
        <f t="shared" si="95"/>
        <v>0</v>
      </c>
      <c r="DC541" s="19">
        <f t="shared" si="96"/>
        <v>0</v>
      </c>
      <c r="DD541" s="19">
        <f t="shared" si="97"/>
        <v>0</v>
      </c>
      <c r="DE541" s="19">
        <f t="shared" si="98"/>
        <v>0</v>
      </c>
      <c r="DF541" s="19">
        <f t="shared" si="99"/>
        <v>0</v>
      </c>
      <c r="DG541" s="19">
        <f t="shared" si="100"/>
        <v>0</v>
      </c>
      <c r="DH541" s="20">
        <f t="shared" si="101"/>
        <v>0</v>
      </c>
      <c r="DI541" s="20">
        <f t="shared" si="102"/>
        <v>0</v>
      </c>
    </row>
    <row r="542" spans="80:113" x14ac:dyDescent="0.3">
      <c r="CB542" s="18"/>
      <c r="CC542" s="19"/>
      <c r="CD542" s="19"/>
      <c r="CE542" s="19"/>
      <c r="CF542" s="19"/>
      <c r="CG542" s="19"/>
      <c r="CH542" s="19"/>
      <c r="CI542" s="18"/>
      <c r="CJ542" s="18"/>
      <c r="CN542" s="18"/>
      <c r="CO542" s="19"/>
      <c r="CP542" s="19"/>
      <c r="CQ542" s="19"/>
      <c r="CR542" s="19"/>
      <c r="CS542" s="19"/>
      <c r="CT542" s="19"/>
      <c r="CU542" s="20"/>
      <c r="CV542" s="20"/>
      <c r="DA542" s="18">
        <f t="shared" si="94"/>
        <v>0</v>
      </c>
      <c r="DB542" s="19">
        <f t="shared" si="95"/>
        <v>0</v>
      </c>
      <c r="DC542" s="19">
        <f t="shared" si="96"/>
        <v>0</v>
      </c>
      <c r="DD542" s="19">
        <f t="shared" si="97"/>
        <v>0</v>
      </c>
      <c r="DE542" s="19">
        <f t="shared" si="98"/>
        <v>0</v>
      </c>
      <c r="DF542" s="19">
        <f t="shared" si="99"/>
        <v>0</v>
      </c>
      <c r="DG542" s="19">
        <f t="shared" si="100"/>
        <v>0</v>
      </c>
      <c r="DH542" s="20">
        <f t="shared" si="101"/>
        <v>0</v>
      </c>
      <c r="DI542" s="20">
        <f t="shared" si="102"/>
        <v>0</v>
      </c>
    </row>
    <row r="543" spans="80:113" x14ac:dyDescent="0.3">
      <c r="CB543" s="18"/>
      <c r="CC543" s="19"/>
      <c r="CD543" s="19"/>
      <c r="CE543" s="19"/>
      <c r="CF543" s="19"/>
      <c r="CG543" s="19"/>
      <c r="CH543" s="19"/>
      <c r="CI543" s="18"/>
      <c r="CJ543" s="18"/>
      <c r="CN543" s="18"/>
      <c r="CO543" s="19"/>
      <c r="CP543" s="19"/>
      <c r="CQ543" s="19"/>
      <c r="CR543" s="19"/>
      <c r="CS543" s="19"/>
      <c r="CT543" s="19"/>
      <c r="CU543" s="20"/>
      <c r="CV543" s="20"/>
      <c r="DA543" s="18">
        <f t="shared" si="94"/>
        <v>0</v>
      </c>
      <c r="DB543" s="19">
        <f t="shared" si="95"/>
        <v>0</v>
      </c>
      <c r="DC543" s="19">
        <f t="shared" si="96"/>
        <v>0</v>
      </c>
      <c r="DD543" s="19">
        <f t="shared" si="97"/>
        <v>0</v>
      </c>
      <c r="DE543" s="19">
        <f t="shared" si="98"/>
        <v>0</v>
      </c>
      <c r="DF543" s="19">
        <f t="shared" si="99"/>
        <v>0</v>
      </c>
      <c r="DG543" s="19">
        <f t="shared" si="100"/>
        <v>0</v>
      </c>
      <c r="DH543" s="20">
        <f t="shared" si="101"/>
        <v>0</v>
      </c>
      <c r="DI543" s="20">
        <f t="shared" si="102"/>
        <v>0</v>
      </c>
    </row>
    <row r="544" spans="80:113" x14ac:dyDescent="0.3">
      <c r="CB544" s="18"/>
      <c r="CC544" s="19"/>
      <c r="CD544" s="19"/>
      <c r="CE544" s="19"/>
      <c r="CF544" s="19"/>
      <c r="CG544" s="19"/>
      <c r="CH544" s="19"/>
      <c r="CI544" s="18"/>
      <c r="CJ544" s="18"/>
      <c r="CN544" s="18"/>
      <c r="CO544" s="19"/>
      <c r="CP544" s="19"/>
      <c r="CQ544" s="19"/>
      <c r="CR544" s="19"/>
      <c r="CS544" s="19"/>
      <c r="CT544" s="19"/>
      <c r="CU544" s="20"/>
      <c r="CV544" s="20"/>
      <c r="DA544" s="18">
        <f t="shared" si="94"/>
        <v>0</v>
      </c>
      <c r="DB544" s="19">
        <f t="shared" si="95"/>
        <v>0</v>
      </c>
      <c r="DC544" s="19">
        <f t="shared" si="96"/>
        <v>0</v>
      </c>
      <c r="DD544" s="19">
        <f t="shared" si="97"/>
        <v>0</v>
      </c>
      <c r="DE544" s="19">
        <f t="shared" si="98"/>
        <v>0</v>
      </c>
      <c r="DF544" s="19">
        <f t="shared" si="99"/>
        <v>0</v>
      </c>
      <c r="DG544" s="19">
        <f t="shared" si="100"/>
        <v>0</v>
      </c>
      <c r="DH544" s="20">
        <f t="shared" si="101"/>
        <v>0</v>
      </c>
      <c r="DI544" s="20">
        <f t="shared" si="102"/>
        <v>0</v>
      </c>
    </row>
    <row r="545" spans="80:113" x14ac:dyDescent="0.3">
      <c r="CB545" s="18"/>
      <c r="CC545" s="19"/>
      <c r="CD545" s="19"/>
      <c r="CE545" s="19"/>
      <c r="CF545" s="19"/>
      <c r="CG545" s="19"/>
      <c r="CH545" s="19"/>
      <c r="CI545" s="18"/>
      <c r="CJ545" s="18"/>
      <c r="CN545" s="18"/>
      <c r="CO545" s="19"/>
      <c r="CP545" s="19"/>
      <c r="CQ545" s="19"/>
      <c r="CR545" s="19"/>
      <c r="CS545" s="19"/>
      <c r="CT545" s="19"/>
      <c r="CU545" s="20"/>
      <c r="CV545" s="20"/>
      <c r="DA545" s="18">
        <f t="shared" si="94"/>
        <v>0</v>
      </c>
      <c r="DB545" s="19">
        <f t="shared" si="95"/>
        <v>0</v>
      </c>
      <c r="DC545" s="19">
        <f t="shared" si="96"/>
        <v>0</v>
      </c>
      <c r="DD545" s="19">
        <f t="shared" si="97"/>
        <v>0</v>
      </c>
      <c r="DE545" s="19">
        <f t="shared" si="98"/>
        <v>0</v>
      </c>
      <c r="DF545" s="19">
        <f t="shared" si="99"/>
        <v>0</v>
      </c>
      <c r="DG545" s="19">
        <f t="shared" si="100"/>
        <v>0</v>
      </c>
      <c r="DH545" s="20">
        <f t="shared" si="101"/>
        <v>0</v>
      </c>
      <c r="DI545" s="20">
        <f t="shared" si="102"/>
        <v>0</v>
      </c>
    </row>
    <row r="546" spans="80:113" x14ac:dyDescent="0.3">
      <c r="CB546" s="18"/>
      <c r="CC546" s="19"/>
      <c r="CD546" s="19"/>
      <c r="CE546" s="19"/>
      <c r="CF546" s="19"/>
      <c r="CG546" s="19"/>
      <c r="CH546" s="19"/>
      <c r="CI546" s="18"/>
      <c r="CJ546" s="18"/>
      <c r="CN546" s="18"/>
      <c r="CO546" s="19"/>
      <c r="CP546" s="19"/>
      <c r="CQ546" s="19"/>
      <c r="CR546" s="19"/>
      <c r="CS546" s="19"/>
      <c r="CT546" s="19"/>
      <c r="CU546" s="20"/>
      <c r="CV546" s="20"/>
      <c r="DA546" s="18">
        <f t="shared" si="94"/>
        <v>0</v>
      </c>
      <c r="DB546" s="19">
        <f t="shared" si="95"/>
        <v>0</v>
      </c>
      <c r="DC546" s="19">
        <f t="shared" si="96"/>
        <v>0</v>
      </c>
      <c r="DD546" s="19">
        <f t="shared" si="97"/>
        <v>0</v>
      </c>
      <c r="DE546" s="19">
        <f t="shared" si="98"/>
        <v>0</v>
      </c>
      <c r="DF546" s="19">
        <f t="shared" si="99"/>
        <v>0</v>
      </c>
      <c r="DG546" s="19">
        <f t="shared" si="100"/>
        <v>0</v>
      </c>
      <c r="DH546" s="20">
        <f t="shared" si="101"/>
        <v>0</v>
      </c>
      <c r="DI546" s="20">
        <f t="shared" si="102"/>
        <v>0</v>
      </c>
    </row>
    <row r="547" spans="80:113" x14ac:dyDescent="0.3">
      <c r="CB547" s="18"/>
      <c r="CC547" s="19"/>
      <c r="CD547" s="19"/>
      <c r="CE547" s="19"/>
      <c r="CF547" s="19"/>
      <c r="CG547" s="19"/>
      <c r="CH547" s="19"/>
      <c r="CI547" s="18"/>
      <c r="CJ547" s="18"/>
      <c r="CN547" s="18"/>
      <c r="CO547" s="19"/>
      <c r="CP547" s="19"/>
      <c r="CQ547" s="19"/>
      <c r="CR547" s="19"/>
      <c r="CS547" s="19"/>
      <c r="CT547" s="19"/>
      <c r="CU547" s="20"/>
      <c r="CV547" s="20"/>
      <c r="DA547" s="18">
        <f t="shared" si="94"/>
        <v>0</v>
      </c>
      <c r="DB547" s="19">
        <f t="shared" si="95"/>
        <v>0</v>
      </c>
      <c r="DC547" s="19">
        <f t="shared" si="96"/>
        <v>0</v>
      </c>
      <c r="DD547" s="19">
        <f t="shared" si="97"/>
        <v>0</v>
      </c>
      <c r="DE547" s="19">
        <f t="shared" si="98"/>
        <v>0</v>
      </c>
      <c r="DF547" s="19">
        <f t="shared" si="99"/>
        <v>0</v>
      </c>
      <c r="DG547" s="19">
        <f t="shared" si="100"/>
        <v>0</v>
      </c>
      <c r="DH547" s="20">
        <f t="shared" si="101"/>
        <v>0</v>
      </c>
      <c r="DI547" s="20">
        <f t="shared" si="102"/>
        <v>0</v>
      </c>
    </row>
    <row r="548" spans="80:113" x14ac:dyDescent="0.3">
      <c r="CB548" s="18"/>
      <c r="CC548" s="19"/>
      <c r="CD548" s="19"/>
      <c r="CE548" s="19"/>
      <c r="CF548" s="19"/>
      <c r="CG548" s="19"/>
      <c r="CH548" s="19"/>
      <c r="CI548" s="18"/>
      <c r="CJ548" s="18"/>
      <c r="CN548" s="18"/>
      <c r="CO548" s="19"/>
      <c r="CP548" s="19"/>
      <c r="CQ548" s="19"/>
      <c r="CR548" s="19"/>
      <c r="CS548" s="19"/>
      <c r="CT548" s="19"/>
      <c r="CU548" s="20"/>
      <c r="CV548" s="20"/>
      <c r="DA548" s="18">
        <f t="shared" si="94"/>
        <v>0</v>
      </c>
      <c r="DB548" s="19">
        <f t="shared" si="95"/>
        <v>0</v>
      </c>
      <c r="DC548" s="19">
        <f t="shared" si="96"/>
        <v>0</v>
      </c>
      <c r="DD548" s="19">
        <f t="shared" si="97"/>
        <v>0</v>
      </c>
      <c r="DE548" s="19">
        <f t="shared" si="98"/>
        <v>0</v>
      </c>
      <c r="DF548" s="19">
        <f t="shared" si="99"/>
        <v>0</v>
      </c>
      <c r="DG548" s="19">
        <f t="shared" si="100"/>
        <v>0</v>
      </c>
      <c r="DH548" s="20">
        <f t="shared" si="101"/>
        <v>0</v>
      </c>
      <c r="DI548" s="20">
        <f t="shared" si="102"/>
        <v>0</v>
      </c>
    </row>
    <row r="549" spans="80:113" x14ac:dyDescent="0.3">
      <c r="CB549" s="18"/>
      <c r="CC549" s="19"/>
      <c r="CD549" s="19"/>
      <c r="CE549" s="19"/>
      <c r="CF549" s="19"/>
      <c r="CG549" s="19"/>
      <c r="CH549" s="19"/>
      <c r="CI549" s="18"/>
      <c r="CJ549" s="18"/>
      <c r="CN549" s="18"/>
      <c r="CO549" s="19"/>
      <c r="CP549" s="19"/>
      <c r="CQ549" s="19"/>
      <c r="CR549" s="19"/>
      <c r="CS549" s="19"/>
      <c r="CT549" s="19"/>
      <c r="CU549" s="20"/>
      <c r="CV549" s="20"/>
      <c r="DA549" s="18">
        <f t="shared" si="94"/>
        <v>0</v>
      </c>
      <c r="DB549" s="19">
        <f t="shared" si="95"/>
        <v>0</v>
      </c>
      <c r="DC549" s="19">
        <f t="shared" si="96"/>
        <v>0</v>
      </c>
      <c r="DD549" s="19">
        <f t="shared" si="97"/>
        <v>0</v>
      </c>
      <c r="DE549" s="19">
        <f t="shared" si="98"/>
        <v>0</v>
      </c>
      <c r="DF549" s="19">
        <f t="shared" si="99"/>
        <v>0</v>
      </c>
      <c r="DG549" s="19">
        <f t="shared" si="100"/>
        <v>0</v>
      </c>
      <c r="DH549" s="20">
        <f t="shared" si="101"/>
        <v>0</v>
      </c>
      <c r="DI549" s="20">
        <f t="shared" si="102"/>
        <v>0</v>
      </c>
    </row>
    <row r="550" spans="80:113" x14ac:dyDescent="0.3">
      <c r="CB550" s="18"/>
      <c r="CC550" s="19"/>
      <c r="CD550" s="19"/>
      <c r="CE550" s="19"/>
      <c r="CF550" s="19"/>
      <c r="CG550" s="19"/>
      <c r="CH550" s="19"/>
      <c r="CI550" s="18"/>
      <c r="CJ550" s="18"/>
      <c r="CN550" s="18"/>
      <c r="CO550" s="19"/>
      <c r="CP550" s="19"/>
      <c r="CQ550" s="19"/>
      <c r="CR550" s="19"/>
      <c r="CS550" s="19"/>
      <c r="CT550" s="19"/>
      <c r="CU550" s="20"/>
      <c r="CV550" s="20"/>
      <c r="DA550" s="18">
        <f t="shared" si="94"/>
        <v>0</v>
      </c>
      <c r="DB550" s="19">
        <f t="shared" si="95"/>
        <v>0</v>
      </c>
      <c r="DC550" s="19">
        <f t="shared" si="96"/>
        <v>0</v>
      </c>
      <c r="DD550" s="19">
        <f t="shared" si="97"/>
        <v>0</v>
      </c>
      <c r="DE550" s="19">
        <f t="shared" si="98"/>
        <v>0</v>
      </c>
      <c r="DF550" s="19">
        <f t="shared" si="99"/>
        <v>0</v>
      </c>
      <c r="DG550" s="19">
        <f t="shared" si="100"/>
        <v>0</v>
      </c>
      <c r="DH550" s="20">
        <f t="shared" si="101"/>
        <v>0</v>
      </c>
      <c r="DI550" s="20">
        <f t="shared" si="102"/>
        <v>0</v>
      </c>
    </row>
    <row r="551" spans="80:113" x14ac:dyDescent="0.3">
      <c r="CB551" s="18"/>
      <c r="CC551" s="19"/>
      <c r="CD551" s="19"/>
      <c r="CE551" s="19"/>
      <c r="CF551" s="19"/>
      <c r="CG551" s="19"/>
      <c r="CH551" s="19"/>
      <c r="CI551" s="18"/>
      <c r="CJ551" s="18"/>
      <c r="CN551" s="18"/>
      <c r="CO551" s="19"/>
      <c r="CP551" s="19"/>
      <c r="CQ551" s="19"/>
      <c r="CR551" s="19"/>
      <c r="CS551" s="19"/>
      <c r="CT551" s="19"/>
      <c r="CU551" s="20"/>
      <c r="CV551" s="20"/>
      <c r="DA551" s="18">
        <f t="shared" si="94"/>
        <v>0</v>
      </c>
      <c r="DB551" s="19">
        <f t="shared" si="95"/>
        <v>0</v>
      </c>
      <c r="DC551" s="19">
        <f t="shared" si="96"/>
        <v>0</v>
      </c>
      <c r="DD551" s="19">
        <f t="shared" si="97"/>
        <v>0</v>
      </c>
      <c r="DE551" s="19">
        <f t="shared" si="98"/>
        <v>0</v>
      </c>
      <c r="DF551" s="19">
        <f t="shared" si="99"/>
        <v>0</v>
      </c>
      <c r="DG551" s="19">
        <f t="shared" si="100"/>
        <v>0</v>
      </c>
      <c r="DH551" s="20">
        <f t="shared" si="101"/>
        <v>0</v>
      </c>
      <c r="DI551" s="20">
        <f t="shared" si="102"/>
        <v>0</v>
      </c>
    </row>
    <row r="552" spans="80:113" x14ac:dyDescent="0.3">
      <c r="CB552" s="18"/>
      <c r="CC552" s="19"/>
      <c r="CD552" s="19"/>
      <c r="CE552" s="19"/>
      <c r="CF552" s="19"/>
      <c r="CG552" s="19"/>
      <c r="CH552" s="19"/>
      <c r="CI552" s="18"/>
      <c r="CJ552" s="18"/>
      <c r="CN552" s="18"/>
      <c r="CO552" s="19"/>
      <c r="CP552" s="19"/>
      <c r="CQ552" s="19"/>
      <c r="CR552" s="19"/>
      <c r="CS552" s="19"/>
      <c r="CT552" s="19"/>
      <c r="CU552" s="20"/>
      <c r="CV552" s="20"/>
      <c r="DA552" s="18">
        <f t="shared" si="94"/>
        <v>0</v>
      </c>
      <c r="DB552" s="19">
        <f t="shared" si="95"/>
        <v>0</v>
      </c>
      <c r="DC552" s="19">
        <f t="shared" si="96"/>
        <v>0</v>
      </c>
      <c r="DD552" s="19">
        <f t="shared" si="97"/>
        <v>0</v>
      </c>
      <c r="DE552" s="19">
        <f t="shared" si="98"/>
        <v>0</v>
      </c>
      <c r="DF552" s="19">
        <f t="shared" si="99"/>
        <v>0</v>
      </c>
      <c r="DG552" s="19">
        <f t="shared" si="100"/>
        <v>0</v>
      </c>
      <c r="DH552" s="20">
        <f t="shared" si="101"/>
        <v>0</v>
      </c>
      <c r="DI552" s="20">
        <f t="shared" si="102"/>
        <v>0</v>
      </c>
    </row>
    <row r="553" spans="80:113" x14ac:dyDescent="0.3">
      <c r="CB553" s="18"/>
      <c r="CC553" s="19"/>
      <c r="CD553" s="19"/>
      <c r="CE553" s="19"/>
      <c r="CF553" s="19"/>
      <c r="CG553" s="19"/>
      <c r="CH553" s="19"/>
      <c r="CI553" s="18"/>
      <c r="CJ553" s="18"/>
      <c r="CN553" s="18"/>
      <c r="CO553" s="19"/>
      <c r="CP553" s="19"/>
      <c r="CQ553" s="19"/>
      <c r="CR553" s="19"/>
      <c r="CS553" s="19"/>
      <c r="CT553" s="19"/>
      <c r="CU553" s="20"/>
      <c r="CV553" s="20"/>
      <c r="DA553" s="18">
        <f t="shared" si="94"/>
        <v>0</v>
      </c>
      <c r="DB553" s="19">
        <f t="shared" si="95"/>
        <v>0</v>
      </c>
      <c r="DC553" s="19">
        <f t="shared" si="96"/>
        <v>0</v>
      </c>
      <c r="DD553" s="19">
        <f t="shared" si="97"/>
        <v>0</v>
      </c>
      <c r="DE553" s="19">
        <f t="shared" si="98"/>
        <v>0</v>
      </c>
      <c r="DF553" s="19">
        <f t="shared" si="99"/>
        <v>0</v>
      </c>
      <c r="DG553" s="19">
        <f t="shared" si="100"/>
        <v>0</v>
      </c>
      <c r="DH553" s="20">
        <f t="shared" si="101"/>
        <v>0</v>
      </c>
      <c r="DI553" s="20">
        <f t="shared" si="102"/>
        <v>0</v>
      </c>
    </row>
    <row r="554" spans="80:113" x14ac:dyDescent="0.3">
      <c r="CB554" s="18"/>
      <c r="CC554" s="19"/>
      <c r="CD554" s="19"/>
      <c r="CE554" s="19"/>
      <c r="CF554" s="19"/>
      <c r="CG554" s="19"/>
      <c r="CH554" s="19"/>
      <c r="CI554" s="18"/>
      <c r="CJ554" s="18"/>
      <c r="CN554" s="18"/>
      <c r="CO554" s="19"/>
      <c r="CP554" s="19"/>
      <c r="CQ554" s="19"/>
      <c r="CR554" s="19"/>
      <c r="CS554" s="19"/>
      <c r="CT554" s="19"/>
      <c r="CU554" s="20"/>
      <c r="CV554" s="20"/>
      <c r="DA554" s="18">
        <f t="shared" si="94"/>
        <v>0</v>
      </c>
      <c r="DB554" s="19">
        <f t="shared" si="95"/>
        <v>0</v>
      </c>
      <c r="DC554" s="19">
        <f t="shared" si="96"/>
        <v>0</v>
      </c>
      <c r="DD554" s="19">
        <f t="shared" si="97"/>
        <v>0</v>
      </c>
      <c r="DE554" s="19">
        <f t="shared" si="98"/>
        <v>0</v>
      </c>
      <c r="DF554" s="19">
        <f t="shared" si="99"/>
        <v>0</v>
      </c>
      <c r="DG554" s="19">
        <f t="shared" si="100"/>
        <v>0</v>
      </c>
      <c r="DH554" s="20">
        <f t="shared" si="101"/>
        <v>0</v>
      </c>
      <c r="DI554" s="20">
        <f t="shared" si="102"/>
        <v>0</v>
      </c>
    </row>
    <row r="555" spans="80:113" x14ac:dyDescent="0.3">
      <c r="CB555" s="18"/>
      <c r="CC555" s="19"/>
      <c r="CD555" s="19"/>
      <c r="CE555" s="19"/>
      <c r="CF555" s="19"/>
      <c r="CG555" s="19"/>
      <c r="CH555" s="19"/>
      <c r="CI555" s="18"/>
      <c r="CJ555" s="18"/>
      <c r="CN555" s="18"/>
      <c r="CO555" s="19"/>
      <c r="CP555" s="19"/>
      <c r="CQ555" s="19"/>
      <c r="CR555" s="19"/>
      <c r="CS555" s="19"/>
      <c r="CT555" s="19"/>
      <c r="CU555" s="20"/>
      <c r="CV555" s="20"/>
      <c r="DA555" s="18">
        <f t="shared" si="94"/>
        <v>0</v>
      </c>
      <c r="DB555" s="19">
        <f t="shared" si="95"/>
        <v>0</v>
      </c>
      <c r="DC555" s="19">
        <f t="shared" si="96"/>
        <v>0</v>
      </c>
      <c r="DD555" s="19">
        <f t="shared" si="97"/>
        <v>0</v>
      </c>
      <c r="DE555" s="19">
        <f t="shared" si="98"/>
        <v>0</v>
      </c>
      <c r="DF555" s="19">
        <f t="shared" si="99"/>
        <v>0</v>
      </c>
      <c r="DG555" s="19">
        <f t="shared" si="100"/>
        <v>0</v>
      </c>
      <c r="DH555" s="20">
        <f t="shared" si="101"/>
        <v>0</v>
      </c>
      <c r="DI555" s="20">
        <f t="shared" si="102"/>
        <v>0</v>
      </c>
    </row>
    <row r="556" spans="80:113" x14ac:dyDescent="0.3">
      <c r="CB556" s="18"/>
      <c r="CC556" s="19"/>
      <c r="CD556" s="19"/>
      <c r="CE556" s="19"/>
      <c r="CF556" s="19"/>
      <c r="CG556" s="19"/>
      <c r="CH556" s="19"/>
      <c r="CI556" s="18"/>
      <c r="CJ556" s="18"/>
      <c r="CN556" s="18"/>
      <c r="CO556" s="19"/>
      <c r="CP556" s="19"/>
      <c r="CQ556" s="19"/>
      <c r="CR556" s="19"/>
      <c r="CS556" s="19"/>
      <c r="CT556" s="19"/>
      <c r="CU556" s="20"/>
      <c r="CV556" s="20"/>
      <c r="DA556" s="18">
        <f t="shared" si="94"/>
        <v>0</v>
      </c>
      <c r="DB556" s="19">
        <f t="shared" si="95"/>
        <v>0</v>
      </c>
      <c r="DC556" s="19">
        <f t="shared" si="96"/>
        <v>0</v>
      </c>
      <c r="DD556" s="19">
        <f t="shared" si="97"/>
        <v>0</v>
      </c>
      <c r="DE556" s="19">
        <f t="shared" si="98"/>
        <v>0</v>
      </c>
      <c r="DF556" s="19">
        <f t="shared" si="99"/>
        <v>0</v>
      </c>
      <c r="DG556" s="19">
        <f t="shared" si="100"/>
        <v>0</v>
      </c>
      <c r="DH556" s="20">
        <f t="shared" si="101"/>
        <v>0</v>
      </c>
      <c r="DI556" s="20">
        <f t="shared" si="102"/>
        <v>0</v>
      </c>
    </row>
    <row r="557" spans="80:113" x14ac:dyDescent="0.3">
      <c r="CB557" s="18"/>
      <c r="CC557" s="19"/>
      <c r="CD557" s="19"/>
      <c r="CE557" s="19"/>
      <c r="CF557" s="19"/>
      <c r="CG557" s="19"/>
      <c r="CH557" s="19"/>
      <c r="CI557" s="18"/>
      <c r="CJ557" s="18"/>
      <c r="CN557" s="18"/>
      <c r="CO557" s="19"/>
      <c r="CP557" s="19"/>
      <c r="CQ557" s="19"/>
      <c r="CR557" s="19"/>
      <c r="CS557" s="19"/>
      <c r="CT557" s="19"/>
      <c r="CU557" s="20"/>
      <c r="CV557" s="20"/>
      <c r="DA557" s="18">
        <f t="shared" si="94"/>
        <v>0</v>
      </c>
      <c r="DB557" s="19">
        <f t="shared" si="95"/>
        <v>0</v>
      </c>
      <c r="DC557" s="19">
        <f t="shared" si="96"/>
        <v>0</v>
      </c>
      <c r="DD557" s="19">
        <f t="shared" si="97"/>
        <v>0</v>
      </c>
      <c r="DE557" s="19">
        <f t="shared" si="98"/>
        <v>0</v>
      </c>
      <c r="DF557" s="19">
        <f t="shared" si="99"/>
        <v>0</v>
      </c>
      <c r="DG557" s="19">
        <f t="shared" si="100"/>
        <v>0</v>
      </c>
      <c r="DH557" s="20">
        <f t="shared" si="101"/>
        <v>0</v>
      </c>
      <c r="DI557" s="20">
        <f t="shared" si="102"/>
        <v>0</v>
      </c>
    </row>
    <row r="558" spans="80:113" x14ac:dyDescent="0.3">
      <c r="CB558" s="18"/>
      <c r="CC558" s="19"/>
      <c r="CD558" s="19"/>
      <c r="CE558" s="19"/>
      <c r="CF558" s="19"/>
      <c r="CG558" s="19"/>
      <c r="CH558" s="19"/>
      <c r="CI558" s="18"/>
      <c r="CJ558" s="18"/>
      <c r="CN558" s="18"/>
      <c r="CO558" s="19"/>
      <c r="CP558" s="19"/>
      <c r="CQ558" s="19"/>
      <c r="CR558" s="19"/>
      <c r="CS558" s="19"/>
      <c r="CT558" s="19"/>
      <c r="CU558" s="20"/>
      <c r="CV558" s="20"/>
      <c r="DA558" s="18">
        <f t="shared" si="94"/>
        <v>0</v>
      </c>
      <c r="DB558" s="19">
        <f t="shared" si="95"/>
        <v>0</v>
      </c>
      <c r="DC558" s="19">
        <f t="shared" si="96"/>
        <v>0</v>
      </c>
      <c r="DD558" s="19">
        <f t="shared" si="97"/>
        <v>0</v>
      </c>
      <c r="DE558" s="19">
        <f t="shared" si="98"/>
        <v>0</v>
      </c>
      <c r="DF558" s="19">
        <f t="shared" si="99"/>
        <v>0</v>
      </c>
      <c r="DG558" s="19">
        <f t="shared" si="100"/>
        <v>0</v>
      </c>
      <c r="DH558" s="20">
        <f t="shared" si="101"/>
        <v>0</v>
      </c>
      <c r="DI558" s="20">
        <f t="shared" si="102"/>
        <v>0</v>
      </c>
    </row>
    <row r="559" spans="80:113" x14ac:dyDescent="0.3">
      <c r="CB559" s="18"/>
      <c r="CC559" s="19"/>
      <c r="CD559" s="19"/>
      <c r="CE559" s="19"/>
      <c r="CF559" s="19"/>
      <c r="CG559" s="19"/>
      <c r="CH559" s="19"/>
      <c r="CI559" s="18"/>
      <c r="CJ559" s="18"/>
      <c r="CN559" s="18"/>
      <c r="CO559" s="19"/>
      <c r="CP559" s="19"/>
      <c r="CQ559" s="19"/>
      <c r="CR559" s="19"/>
      <c r="CS559" s="19"/>
      <c r="CT559" s="19"/>
      <c r="CU559" s="20"/>
      <c r="CV559" s="20"/>
      <c r="DA559" s="18">
        <f t="shared" si="94"/>
        <v>0</v>
      </c>
      <c r="DB559" s="19">
        <f t="shared" si="95"/>
        <v>0</v>
      </c>
      <c r="DC559" s="19">
        <f t="shared" si="96"/>
        <v>0</v>
      </c>
      <c r="DD559" s="19">
        <f t="shared" si="97"/>
        <v>0</v>
      </c>
      <c r="DE559" s="19">
        <f t="shared" si="98"/>
        <v>0</v>
      </c>
      <c r="DF559" s="19">
        <f t="shared" si="99"/>
        <v>0</v>
      </c>
      <c r="DG559" s="19">
        <f t="shared" si="100"/>
        <v>0</v>
      </c>
      <c r="DH559" s="20">
        <f t="shared" si="101"/>
        <v>0</v>
      </c>
      <c r="DI559" s="20">
        <f t="shared" si="102"/>
        <v>0</v>
      </c>
    </row>
    <row r="560" spans="80:113" x14ac:dyDescent="0.3">
      <c r="CB560" s="18"/>
      <c r="CC560" s="19"/>
      <c r="CD560" s="19"/>
      <c r="CE560" s="19"/>
      <c r="CF560" s="19"/>
      <c r="CG560" s="19"/>
      <c r="CH560" s="19"/>
      <c r="CI560" s="18"/>
      <c r="CJ560" s="18"/>
      <c r="CN560" s="18"/>
      <c r="CO560" s="19"/>
      <c r="CP560" s="19"/>
      <c r="CQ560" s="19"/>
      <c r="CR560" s="19"/>
      <c r="CS560" s="19"/>
      <c r="CT560" s="19"/>
      <c r="CU560" s="20"/>
      <c r="CV560" s="20"/>
      <c r="DA560" s="18">
        <f t="shared" si="94"/>
        <v>0</v>
      </c>
      <c r="DB560" s="19">
        <f t="shared" si="95"/>
        <v>0</v>
      </c>
      <c r="DC560" s="19">
        <f t="shared" si="96"/>
        <v>0</v>
      </c>
      <c r="DD560" s="19">
        <f t="shared" si="97"/>
        <v>0</v>
      </c>
      <c r="DE560" s="19">
        <f t="shared" si="98"/>
        <v>0</v>
      </c>
      <c r="DF560" s="19">
        <f t="shared" si="99"/>
        <v>0</v>
      </c>
      <c r="DG560" s="19">
        <f t="shared" si="100"/>
        <v>0</v>
      </c>
      <c r="DH560" s="20">
        <f t="shared" si="101"/>
        <v>0</v>
      </c>
      <c r="DI560" s="20">
        <f t="shared" si="102"/>
        <v>0</v>
      </c>
    </row>
    <row r="561" spans="80:113" x14ac:dyDescent="0.3">
      <c r="CB561" s="18"/>
      <c r="CC561" s="19"/>
      <c r="CD561" s="19"/>
      <c r="CE561" s="19"/>
      <c r="CF561" s="19"/>
      <c r="CG561" s="19"/>
      <c r="CH561" s="19"/>
      <c r="CI561" s="18"/>
      <c r="CJ561" s="18"/>
      <c r="CN561" s="18"/>
      <c r="CO561" s="19"/>
      <c r="CP561" s="19"/>
      <c r="CQ561" s="19"/>
      <c r="CR561" s="19"/>
      <c r="CS561" s="19"/>
      <c r="CT561" s="19"/>
      <c r="CU561" s="20"/>
      <c r="CV561" s="20"/>
      <c r="DA561" s="18">
        <f t="shared" si="94"/>
        <v>0</v>
      </c>
      <c r="DB561" s="19">
        <f t="shared" si="95"/>
        <v>0</v>
      </c>
      <c r="DC561" s="19">
        <f t="shared" si="96"/>
        <v>0</v>
      </c>
      <c r="DD561" s="19">
        <f t="shared" si="97"/>
        <v>0</v>
      </c>
      <c r="DE561" s="19">
        <f t="shared" si="98"/>
        <v>0</v>
      </c>
      <c r="DF561" s="19">
        <f t="shared" si="99"/>
        <v>0</v>
      </c>
      <c r="DG561" s="19">
        <f t="shared" si="100"/>
        <v>0</v>
      </c>
      <c r="DH561" s="20">
        <f t="shared" si="101"/>
        <v>0</v>
      </c>
      <c r="DI561" s="20">
        <f t="shared" si="102"/>
        <v>0</v>
      </c>
    </row>
    <row r="562" spans="80:113" x14ac:dyDescent="0.3">
      <c r="CB562" s="18"/>
      <c r="CC562" s="19"/>
      <c r="CD562" s="19"/>
      <c r="CE562" s="19"/>
      <c r="CF562" s="19"/>
      <c r="CG562" s="19"/>
      <c r="CH562" s="19"/>
      <c r="CI562" s="18"/>
      <c r="CJ562" s="18"/>
      <c r="CN562" s="18"/>
      <c r="CO562" s="19"/>
      <c r="CP562" s="19"/>
      <c r="CQ562" s="19"/>
      <c r="CR562" s="19"/>
      <c r="CS562" s="19"/>
      <c r="CT562" s="19"/>
      <c r="CU562" s="20"/>
      <c r="CV562" s="20"/>
      <c r="DA562" s="18">
        <f t="shared" si="94"/>
        <v>0</v>
      </c>
      <c r="DB562" s="19">
        <f t="shared" si="95"/>
        <v>0</v>
      </c>
      <c r="DC562" s="19">
        <f t="shared" si="96"/>
        <v>0</v>
      </c>
      <c r="DD562" s="19">
        <f t="shared" si="97"/>
        <v>0</v>
      </c>
      <c r="DE562" s="19">
        <f t="shared" si="98"/>
        <v>0</v>
      </c>
      <c r="DF562" s="19">
        <f t="shared" si="99"/>
        <v>0</v>
      </c>
      <c r="DG562" s="19">
        <f t="shared" si="100"/>
        <v>0</v>
      </c>
      <c r="DH562" s="20">
        <f t="shared" si="101"/>
        <v>0</v>
      </c>
      <c r="DI562" s="20">
        <f t="shared" si="102"/>
        <v>0</v>
      </c>
    </row>
    <row r="563" spans="80:113" x14ac:dyDescent="0.3">
      <c r="CB563" s="18"/>
      <c r="CC563" s="19"/>
      <c r="CD563" s="19"/>
      <c r="CE563" s="19"/>
      <c r="CF563" s="19"/>
      <c r="CG563" s="19"/>
      <c r="CH563" s="19"/>
      <c r="CI563" s="18"/>
      <c r="CJ563" s="18"/>
      <c r="CN563" s="18"/>
      <c r="CO563" s="19"/>
      <c r="CP563" s="19"/>
      <c r="CQ563" s="19"/>
      <c r="CR563" s="19"/>
      <c r="CS563" s="19"/>
      <c r="CT563" s="19"/>
      <c r="CU563" s="20"/>
      <c r="CV563" s="20"/>
      <c r="DA563" s="18">
        <f t="shared" si="94"/>
        <v>0</v>
      </c>
      <c r="DB563" s="19">
        <f t="shared" si="95"/>
        <v>0</v>
      </c>
      <c r="DC563" s="19">
        <f t="shared" si="96"/>
        <v>0</v>
      </c>
      <c r="DD563" s="19">
        <f t="shared" si="97"/>
        <v>0</v>
      </c>
      <c r="DE563" s="19">
        <f t="shared" si="98"/>
        <v>0</v>
      </c>
      <c r="DF563" s="19">
        <f t="shared" si="99"/>
        <v>0</v>
      </c>
      <c r="DG563" s="19">
        <f t="shared" si="100"/>
        <v>0</v>
      </c>
      <c r="DH563" s="20">
        <f t="shared" si="101"/>
        <v>0</v>
      </c>
      <c r="DI563" s="20">
        <f t="shared" si="102"/>
        <v>0</v>
      </c>
    </row>
    <row r="564" spans="80:113" x14ac:dyDescent="0.3">
      <c r="CB564" s="18"/>
      <c r="CC564" s="19"/>
      <c r="CD564" s="19"/>
      <c r="CE564" s="19"/>
      <c r="CF564" s="19"/>
      <c r="CG564" s="19"/>
      <c r="CH564" s="19"/>
      <c r="CI564" s="18"/>
      <c r="CJ564" s="18"/>
      <c r="CN564" s="18"/>
      <c r="CO564" s="19"/>
      <c r="CP564" s="19"/>
      <c r="CQ564" s="19"/>
      <c r="CR564" s="19"/>
      <c r="CS564" s="19"/>
      <c r="CT564" s="19"/>
      <c r="CU564" s="20"/>
      <c r="CV564" s="20"/>
      <c r="DA564" s="18">
        <f t="shared" si="94"/>
        <v>0</v>
      </c>
      <c r="DB564" s="19">
        <f t="shared" si="95"/>
        <v>0</v>
      </c>
      <c r="DC564" s="19">
        <f t="shared" si="96"/>
        <v>0</v>
      </c>
      <c r="DD564" s="19">
        <f t="shared" si="97"/>
        <v>0</v>
      </c>
      <c r="DE564" s="19">
        <f t="shared" si="98"/>
        <v>0</v>
      </c>
      <c r="DF564" s="19">
        <f t="shared" si="99"/>
        <v>0</v>
      </c>
      <c r="DG564" s="19">
        <f t="shared" si="100"/>
        <v>0</v>
      </c>
      <c r="DH564" s="20">
        <f t="shared" si="101"/>
        <v>0</v>
      </c>
      <c r="DI564" s="20">
        <f t="shared" si="102"/>
        <v>0</v>
      </c>
    </row>
    <row r="565" spans="80:113" x14ac:dyDescent="0.3">
      <c r="CB565" s="18"/>
      <c r="CC565" s="19"/>
      <c r="CD565" s="19"/>
      <c r="CE565" s="19"/>
      <c r="CF565" s="19"/>
      <c r="CG565" s="19"/>
      <c r="CH565" s="19"/>
      <c r="CI565" s="18"/>
      <c r="CJ565" s="18"/>
      <c r="CN565" s="18"/>
      <c r="CO565" s="19"/>
      <c r="CP565" s="19"/>
      <c r="CQ565" s="19"/>
      <c r="CR565" s="19"/>
      <c r="CS565" s="19"/>
      <c r="CT565" s="19"/>
      <c r="CU565" s="20"/>
      <c r="CV565" s="20"/>
      <c r="DA565" s="18">
        <f t="shared" si="94"/>
        <v>0</v>
      </c>
      <c r="DB565" s="19">
        <f t="shared" si="95"/>
        <v>0</v>
      </c>
      <c r="DC565" s="19">
        <f t="shared" si="96"/>
        <v>0</v>
      </c>
      <c r="DD565" s="19">
        <f t="shared" si="97"/>
        <v>0</v>
      </c>
      <c r="DE565" s="19">
        <f t="shared" si="98"/>
        <v>0</v>
      </c>
      <c r="DF565" s="19">
        <f t="shared" si="99"/>
        <v>0</v>
      </c>
      <c r="DG565" s="19">
        <f t="shared" si="100"/>
        <v>0</v>
      </c>
      <c r="DH565" s="20">
        <f t="shared" si="101"/>
        <v>0</v>
      </c>
      <c r="DI565" s="20">
        <f t="shared" si="102"/>
        <v>0</v>
      </c>
    </row>
    <row r="566" spans="80:113" x14ac:dyDescent="0.3">
      <c r="CB566" s="18"/>
      <c r="CC566" s="19"/>
      <c r="CD566" s="19"/>
      <c r="CE566" s="19"/>
      <c r="CF566" s="19"/>
      <c r="CG566" s="19"/>
      <c r="CH566" s="19"/>
      <c r="CI566" s="18"/>
      <c r="CJ566" s="18"/>
      <c r="CN566" s="18"/>
      <c r="CO566" s="19"/>
      <c r="CP566" s="19"/>
      <c r="CQ566" s="19"/>
      <c r="CR566" s="19"/>
      <c r="CS566" s="19"/>
      <c r="CT566" s="19"/>
      <c r="CU566" s="20"/>
      <c r="CV566" s="20"/>
      <c r="DA566" s="18">
        <f t="shared" si="94"/>
        <v>0</v>
      </c>
      <c r="DB566" s="19">
        <f t="shared" si="95"/>
        <v>0</v>
      </c>
      <c r="DC566" s="19">
        <f t="shared" si="96"/>
        <v>0</v>
      </c>
      <c r="DD566" s="19">
        <f t="shared" si="97"/>
        <v>0</v>
      </c>
      <c r="DE566" s="19">
        <f t="shared" si="98"/>
        <v>0</v>
      </c>
      <c r="DF566" s="19">
        <f t="shared" si="99"/>
        <v>0</v>
      </c>
      <c r="DG566" s="19">
        <f t="shared" si="100"/>
        <v>0</v>
      </c>
      <c r="DH566" s="20">
        <f t="shared" si="101"/>
        <v>0</v>
      </c>
      <c r="DI566" s="20">
        <f t="shared" si="102"/>
        <v>0</v>
      </c>
    </row>
    <row r="567" spans="80:113" x14ac:dyDescent="0.3">
      <c r="CB567" s="18"/>
      <c r="CC567" s="19"/>
      <c r="CD567" s="19"/>
      <c r="CE567" s="19"/>
      <c r="CF567" s="19"/>
      <c r="CG567" s="19"/>
      <c r="CH567" s="19"/>
      <c r="CI567" s="18"/>
      <c r="CJ567" s="18"/>
      <c r="CN567" s="18"/>
      <c r="CO567" s="19"/>
      <c r="CP567" s="19"/>
      <c r="CQ567" s="19"/>
      <c r="CR567" s="19"/>
      <c r="CS567" s="19"/>
      <c r="CT567" s="19"/>
      <c r="CU567" s="20"/>
      <c r="CV567" s="20"/>
      <c r="DA567" s="18">
        <f t="shared" si="94"/>
        <v>0</v>
      </c>
      <c r="DB567" s="19">
        <f t="shared" si="95"/>
        <v>0</v>
      </c>
      <c r="DC567" s="19">
        <f t="shared" si="96"/>
        <v>0</v>
      </c>
      <c r="DD567" s="19">
        <f t="shared" si="97"/>
        <v>0</v>
      </c>
      <c r="DE567" s="19">
        <f t="shared" si="98"/>
        <v>0</v>
      </c>
      <c r="DF567" s="19">
        <f t="shared" si="99"/>
        <v>0</v>
      </c>
      <c r="DG567" s="19">
        <f t="shared" si="100"/>
        <v>0</v>
      </c>
      <c r="DH567" s="20">
        <f t="shared" si="101"/>
        <v>0</v>
      </c>
      <c r="DI567" s="20">
        <f t="shared" si="102"/>
        <v>0</v>
      </c>
    </row>
    <row r="568" spans="80:113" x14ac:dyDescent="0.3">
      <c r="CB568" s="18"/>
      <c r="CC568" s="19"/>
      <c r="CD568" s="19"/>
      <c r="CE568" s="19"/>
      <c r="CF568" s="19"/>
      <c r="CG568" s="19"/>
      <c r="CH568" s="19"/>
      <c r="CI568" s="18"/>
      <c r="CJ568" s="18"/>
      <c r="CN568" s="18"/>
      <c r="CO568" s="19"/>
      <c r="CP568" s="19"/>
      <c r="CQ568" s="19"/>
      <c r="CR568" s="19"/>
      <c r="CS568" s="19"/>
      <c r="CT568" s="19"/>
      <c r="CU568" s="20"/>
      <c r="CV568" s="20"/>
      <c r="DA568" s="18">
        <f t="shared" si="94"/>
        <v>0</v>
      </c>
      <c r="DB568" s="19">
        <f t="shared" si="95"/>
        <v>0</v>
      </c>
      <c r="DC568" s="19">
        <f t="shared" si="96"/>
        <v>0</v>
      </c>
      <c r="DD568" s="19">
        <f t="shared" si="97"/>
        <v>0</v>
      </c>
      <c r="DE568" s="19">
        <f t="shared" si="98"/>
        <v>0</v>
      </c>
      <c r="DF568" s="19">
        <f t="shared" si="99"/>
        <v>0</v>
      </c>
      <c r="DG568" s="19">
        <f t="shared" si="100"/>
        <v>0</v>
      </c>
      <c r="DH568" s="20">
        <f t="shared" si="101"/>
        <v>0</v>
      </c>
      <c r="DI568" s="20">
        <f t="shared" si="102"/>
        <v>0</v>
      </c>
    </row>
    <row r="569" spans="80:113" x14ac:dyDescent="0.3">
      <c r="CB569" s="18"/>
      <c r="CC569" s="19"/>
      <c r="CD569" s="19"/>
      <c r="CE569" s="19"/>
      <c r="CF569" s="19"/>
      <c r="CG569" s="19"/>
      <c r="CH569" s="19"/>
      <c r="CI569" s="18"/>
      <c r="CJ569" s="18"/>
      <c r="CN569" s="18"/>
      <c r="CO569" s="19"/>
      <c r="CP569" s="19"/>
      <c r="CQ569" s="19"/>
      <c r="CR569" s="19"/>
      <c r="CS569" s="19"/>
      <c r="CT569" s="19"/>
      <c r="CU569" s="20"/>
      <c r="CV569" s="20"/>
      <c r="DA569" s="18">
        <f t="shared" si="94"/>
        <v>0</v>
      </c>
      <c r="DB569" s="19">
        <f t="shared" si="95"/>
        <v>0</v>
      </c>
      <c r="DC569" s="19">
        <f t="shared" si="96"/>
        <v>0</v>
      </c>
      <c r="DD569" s="19">
        <f t="shared" si="97"/>
        <v>0</v>
      </c>
      <c r="DE569" s="19">
        <f t="shared" si="98"/>
        <v>0</v>
      </c>
      <c r="DF569" s="19">
        <f t="shared" si="99"/>
        <v>0</v>
      </c>
      <c r="DG569" s="19">
        <f t="shared" si="100"/>
        <v>0</v>
      </c>
      <c r="DH569" s="20">
        <f t="shared" si="101"/>
        <v>0</v>
      </c>
      <c r="DI569" s="20">
        <f t="shared" si="102"/>
        <v>0</v>
      </c>
    </row>
    <row r="570" spans="80:113" x14ac:dyDescent="0.3">
      <c r="CB570" s="18"/>
      <c r="CC570" s="19"/>
      <c r="CD570" s="19"/>
      <c r="CE570" s="19"/>
      <c r="CF570" s="19"/>
      <c r="CG570" s="19"/>
      <c r="CH570" s="19"/>
      <c r="CI570" s="18"/>
      <c r="CJ570" s="18"/>
      <c r="CN570" s="18"/>
      <c r="CO570" s="19"/>
      <c r="CP570" s="19"/>
      <c r="CQ570" s="19"/>
      <c r="CR570" s="19"/>
      <c r="CS570" s="19"/>
      <c r="CT570" s="19"/>
      <c r="CU570" s="20"/>
      <c r="CV570" s="20"/>
      <c r="DA570" s="18">
        <f t="shared" si="94"/>
        <v>0</v>
      </c>
      <c r="DB570" s="19">
        <f t="shared" si="95"/>
        <v>0</v>
      </c>
      <c r="DC570" s="19">
        <f t="shared" si="96"/>
        <v>0</v>
      </c>
      <c r="DD570" s="19">
        <f t="shared" si="97"/>
        <v>0</v>
      </c>
      <c r="DE570" s="19">
        <f t="shared" si="98"/>
        <v>0</v>
      </c>
      <c r="DF570" s="19">
        <f t="shared" si="99"/>
        <v>0</v>
      </c>
      <c r="DG570" s="19">
        <f t="shared" si="100"/>
        <v>0</v>
      </c>
      <c r="DH570" s="20">
        <f t="shared" si="101"/>
        <v>0</v>
      </c>
      <c r="DI570" s="20">
        <f t="shared" si="102"/>
        <v>0</v>
      </c>
    </row>
    <row r="571" spans="80:113" x14ac:dyDescent="0.3">
      <c r="CB571" s="18"/>
      <c r="CC571" s="19"/>
      <c r="CD571" s="19"/>
      <c r="CE571" s="19"/>
      <c r="CF571" s="19"/>
      <c r="CG571" s="19"/>
      <c r="CH571" s="19"/>
      <c r="CI571" s="18"/>
      <c r="CJ571" s="18"/>
      <c r="CN571" s="18"/>
      <c r="CO571" s="19"/>
      <c r="CP571" s="19"/>
      <c r="CQ571" s="19"/>
      <c r="CR571" s="19"/>
      <c r="CS571" s="19"/>
      <c r="CT571" s="19"/>
      <c r="CU571" s="20"/>
      <c r="CV571" s="20"/>
      <c r="DA571" s="18">
        <f t="shared" si="94"/>
        <v>0</v>
      </c>
      <c r="DB571" s="19">
        <f t="shared" si="95"/>
        <v>0</v>
      </c>
      <c r="DC571" s="19">
        <f t="shared" si="96"/>
        <v>0</v>
      </c>
      <c r="DD571" s="19">
        <f t="shared" si="97"/>
        <v>0</v>
      </c>
      <c r="DE571" s="19">
        <f t="shared" si="98"/>
        <v>0</v>
      </c>
      <c r="DF571" s="19">
        <f t="shared" si="99"/>
        <v>0</v>
      </c>
      <c r="DG571" s="19">
        <f t="shared" si="100"/>
        <v>0</v>
      </c>
      <c r="DH571" s="20">
        <f t="shared" si="101"/>
        <v>0</v>
      </c>
      <c r="DI571" s="20">
        <f t="shared" si="102"/>
        <v>0</v>
      </c>
    </row>
    <row r="572" spans="80:113" x14ac:dyDescent="0.3">
      <c r="CB572" s="18"/>
      <c r="CC572" s="19"/>
      <c r="CD572" s="19"/>
      <c r="CE572" s="19"/>
      <c r="CF572" s="19"/>
      <c r="CG572" s="19"/>
      <c r="CH572" s="19"/>
      <c r="CI572" s="18"/>
      <c r="CJ572" s="18"/>
      <c r="CN572" s="18"/>
      <c r="CO572" s="19"/>
      <c r="CP572" s="19"/>
      <c r="CQ572" s="19"/>
      <c r="CR572" s="19"/>
      <c r="CS572" s="19"/>
      <c r="CT572" s="19"/>
      <c r="CU572" s="20"/>
      <c r="CV572" s="20"/>
      <c r="DA572" s="18">
        <f t="shared" si="94"/>
        <v>0</v>
      </c>
      <c r="DB572" s="19">
        <f t="shared" si="95"/>
        <v>0</v>
      </c>
      <c r="DC572" s="19">
        <f t="shared" si="96"/>
        <v>0</v>
      </c>
      <c r="DD572" s="19">
        <f t="shared" si="97"/>
        <v>0</v>
      </c>
      <c r="DE572" s="19">
        <f t="shared" si="98"/>
        <v>0</v>
      </c>
      <c r="DF572" s="19">
        <f t="shared" si="99"/>
        <v>0</v>
      </c>
      <c r="DG572" s="19">
        <f t="shared" si="100"/>
        <v>0</v>
      </c>
      <c r="DH572" s="20">
        <f t="shared" si="101"/>
        <v>0</v>
      </c>
      <c r="DI572" s="20">
        <f t="shared" si="102"/>
        <v>0</v>
      </c>
    </row>
    <row r="573" spans="80:113" x14ac:dyDescent="0.3">
      <c r="CB573" s="18"/>
      <c r="CC573" s="19"/>
      <c r="CD573" s="19"/>
      <c r="CE573" s="19"/>
      <c r="CF573" s="19"/>
      <c r="CG573" s="19"/>
      <c r="CH573" s="19"/>
      <c r="CI573" s="18"/>
      <c r="CJ573" s="18"/>
      <c r="CN573" s="18"/>
      <c r="CO573" s="19"/>
      <c r="CP573" s="19"/>
      <c r="CQ573" s="19"/>
      <c r="CR573" s="19"/>
      <c r="CS573" s="19"/>
      <c r="CT573" s="19"/>
      <c r="CU573" s="20"/>
      <c r="CV573" s="20"/>
      <c r="DA573" s="18">
        <f t="shared" si="94"/>
        <v>0</v>
      </c>
      <c r="DB573" s="19">
        <f t="shared" si="95"/>
        <v>0</v>
      </c>
      <c r="DC573" s="19">
        <f t="shared" si="96"/>
        <v>0</v>
      </c>
      <c r="DD573" s="19">
        <f t="shared" si="97"/>
        <v>0</v>
      </c>
      <c r="DE573" s="19">
        <f t="shared" si="98"/>
        <v>0</v>
      </c>
      <c r="DF573" s="19">
        <f t="shared" si="99"/>
        <v>0</v>
      </c>
      <c r="DG573" s="19">
        <f t="shared" si="100"/>
        <v>0</v>
      </c>
      <c r="DH573" s="20">
        <f t="shared" si="101"/>
        <v>0</v>
      </c>
      <c r="DI573" s="20">
        <f t="shared" si="102"/>
        <v>0</v>
      </c>
    </row>
    <row r="574" spans="80:113" x14ac:dyDescent="0.3">
      <c r="CB574" s="18"/>
      <c r="CC574" s="19"/>
      <c r="CD574" s="19"/>
      <c r="CE574" s="19"/>
      <c r="CF574" s="19"/>
      <c r="CG574" s="19"/>
      <c r="CH574" s="19"/>
      <c r="CI574" s="18"/>
      <c r="CJ574" s="18"/>
      <c r="CN574" s="18"/>
      <c r="CO574" s="19"/>
      <c r="CP574" s="19"/>
      <c r="CQ574" s="19"/>
      <c r="CR574" s="19"/>
      <c r="CS574" s="19"/>
      <c r="CT574" s="19"/>
      <c r="CU574" s="20"/>
      <c r="CV574" s="20"/>
      <c r="DA574" s="18">
        <f t="shared" si="94"/>
        <v>0</v>
      </c>
      <c r="DB574" s="19">
        <f t="shared" si="95"/>
        <v>0</v>
      </c>
      <c r="DC574" s="19">
        <f t="shared" si="96"/>
        <v>0</v>
      </c>
      <c r="DD574" s="19">
        <f t="shared" si="97"/>
        <v>0</v>
      </c>
      <c r="DE574" s="19">
        <f t="shared" si="98"/>
        <v>0</v>
      </c>
      <c r="DF574" s="19">
        <f t="shared" si="99"/>
        <v>0</v>
      </c>
      <c r="DG574" s="19">
        <f t="shared" si="100"/>
        <v>0</v>
      </c>
      <c r="DH574" s="20">
        <f t="shared" si="101"/>
        <v>0</v>
      </c>
      <c r="DI574" s="20">
        <f t="shared" si="102"/>
        <v>0</v>
      </c>
    </row>
    <row r="575" spans="80:113" x14ac:dyDescent="0.3">
      <c r="CB575" s="18"/>
      <c r="CC575" s="19"/>
      <c r="CD575" s="19"/>
      <c r="CE575" s="19"/>
      <c r="CF575" s="19"/>
      <c r="CG575" s="19"/>
      <c r="CH575" s="19"/>
      <c r="CI575" s="18"/>
      <c r="CJ575" s="18"/>
      <c r="CN575" s="18"/>
      <c r="CO575" s="19"/>
      <c r="CP575" s="19"/>
      <c r="CQ575" s="19"/>
      <c r="CR575" s="19"/>
      <c r="CS575" s="19"/>
      <c r="CT575" s="19"/>
      <c r="CU575" s="20"/>
      <c r="CV575" s="20"/>
      <c r="DA575" s="18">
        <f t="shared" si="94"/>
        <v>0</v>
      </c>
      <c r="DB575" s="19">
        <f t="shared" si="95"/>
        <v>0</v>
      </c>
      <c r="DC575" s="19">
        <f t="shared" si="96"/>
        <v>0</v>
      </c>
      <c r="DD575" s="19">
        <f t="shared" si="97"/>
        <v>0</v>
      </c>
      <c r="DE575" s="19">
        <f t="shared" si="98"/>
        <v>0</v>
      </c>
      <c r="DF575" s="19">
        <f t="shared" si="99"/>
        <v>0</v>
      </c>
      <c r="DG575" s="19">
        <f t="shared" si="100"/>
        <v>0</v>
      </c>
      <c r="DH575" s="20">
        <f t="shared" si="101"/>
        <v>0</v>
      </c>
      <c r="DI575" s="20">
        <f t="shared" si="102"/>
        <v>0</v>
      </c>
    </row>
    <row r="576" spans="80:113" x14ac:dyDescent="0.3">
      <c r="CB576" s="18"/>
      <c r="CC576" s="19"/>
      <c r="CD576" s="19"/>
      <c r="CE576" s="19"/>
      <c r="CF576" s="19"/>
      <c r="CG576" s="19"/>
      <c r="CH576" s="19"/>
      <c r="CI576" s="18"/>
      <c r="CJ576" s="18"/>
      <c r="CN576" s="18"/>
      <c r="CO576" s="19"/>
      <c r="CP576" s="19"/>
      <c r="CQ576" s="19"/>
      <c r="CR576" s="19"/>
      <c r="CS576" s="19"/>
      <c r="CT576" s="19"/>
      <c r="CU576" s="20"/>
      <c r="CV576" s="20"/>
      <c r="DA576" s="18">
        <f t="shared" si="94"/>
        <v>0</v>
      </c>
      <c r="DB576" s="19">
        <f t="shared" si="95"/>
        <v>0</v>
      </c>
      <c r="DC576" s="19">
        <f t="shared" si="96"/>
        <v>0</v>
      </c>
      <c r="DD576" s="19">
        <f t="shared" si="97"/>
        <v>0</v>
      </c>
      <c r="DE576" s="19">
        <f t="shared" si="98"/>
        <v>0</v>
      </c>
      <c r="DF576" s="19">
        <f t="shared" si="99"/>
        <v>0</v>
      </c>
      <c r="DG576" s="19">
        <f t="shared" si="100"/>
        <v>0</v>
      </c>
      <c r="DH576" s="20">
        <f t="shared" si="101"/>
        <v>0</v>
      </c>
      <c r="DI576" s="20">
        <f t="shared" si="102"/>
        <v>0</v>
      </c>
    </row>
    <row r="577" spans="80:113" x14ac:dyDescent="0.3">
      <c r="CB577" s="18"/>
      <c r="CC577" s="19"/>
      <c r="CD577" s="19"/>
      <c r="CE577" s="19"/>
      <c r="CF577" s="19"/>
      <c r="CG577" s="19"/>
      <c r="CH577" s="19"/>
      <c r="CI577" s="18"/>
      <c r="CJ577" s="18"/>
      <c r="CN577" s="18"/>
      <c r="CO577" s="19"/>
      <c r="CP577" s="19"/>
      <c r="CQ577" s="19"/>
      <c r="CR577" s="19"/>
      <c r="CS577" s="19"/>
      <c r="CT577" s="19"/>
      <c r="CU577" s="20"/>
      <c r="CV577" s="20"/>
      <c r="DA577" s="18">
        <f t="shared" si="94"/>
        <v>0</v>
      </c>
      <c r="DB577" s="19">
        <f t="shared" si="95"/>
        <v>0</v>
      </c>
      <c r="DC577" s="19">
        <f t="shared" si="96"/>
        <v>0</v>
      </c>
      <c r="DD577" s="19">
        <f t="shared" si="97"/>
        <v>0</v>
      </c>
      <c r="DE577" s="19">
        <f t="shared" si="98"/>
        <v>0</v>
      </c>
      <c r="DF577" s="19">
        <f t="shared" si="99"/>
        <v>0</v>
      </c>
      <c r="DG577" s="19">
        <f t="shared" si="100"/>
        <v>0</v>
      </c>
      <c r="DH577" s="20">
        <f t="shared" si="101"/>
        <v>0</v>
      </c>
      <c r="DI577" s="20">
        <f t="shared" si="102"/>
        <v>0</v>
      </c>
    </row>
    <row r="578" spans="80:113" x14ac:dyDescent="0.3">
      <c r="CB578" s="18"/>
      <c r="CC578" s="19"/>
      <c r="CD578" s="19"/>
      <c r="CE578" s="19"/>
      <c r="CF578" s="19"/>
      <c r="CG578" s="19"/>
      <c r="CH578" s="19"/>
      <c r="CI578" s="18"/>
      <c r="CJ578" s="18"/>
      <c r="CN578" s="18"/>
      <c r="CO578" s="19"/>
      <c r="CP578" s="19"/>
      <c r="CQ578" s="19"/>
      <c r="CR578" s="19"/>
      <c r="CS578" s="19"/>
      <c r="CT578" s="19"/>
      <c r="CU578" s="20"/>
      <c r="CV578" s="20"/>
      <c r="DA578" s="18">
        <f t="shared" si="94"/>
        <v>0</v>
      </c>
      <c r="DB578" s="19">
        <f t="shared" si="95"/>
        <v>0</v>
      </c>
      <c r="DC578" s="19">
        <f t="shared" si="96"/>
        <v>0</v>
      </c>
      <c r="DD578" s="19">
        <f t="shared" si="97"/>
        <v>0</v>
      </c>
      <c r="DE578" s="19">
        <f t="shared" si="98"/>
        <v>0</v>
      </c>
      <c r="DF578" s="19">
        <f t="shared" si="99"/>
        <v>0</v>
      </c>
      <c r="DG578" s="19">
        <f t="shared" si="100"/>
        <v>0</v>
      </c>
      <c r="DH578" s="20">
        <f t="shared" si="101"/>
        <v>0</v>
      </c>
      <c r="DI578" s="20">
        <f t="shared" si="102"/>
        <v>0</v>
      </c>
    </row>
    <row r="579" spans="80:113" x14ac:dyDescent="0.3">
      <c r="CB579" s="18"/>
      <c r="CC579" s="19"/>
      <c r="CD579" s="19"/>
      <c r="CE579" s="19"/>
      <c r="CF579" s="19"/>
      <c r="CG579" s="19"/>
      <c r="CH579" s="19"/>
      <c r="CI579" s="18"/>
      <c r="CJ579" s="18"/>
      <c r="CN579" s="18"/>
      <c r="CO579" s="19"/>
      <c r="CP579" s="19"/>
      <c r="CQ579" s="19"/>
      <c r="CR579" s="19"/>
      <c r="CS579" s="19"/>
      <c r="CT579" s="19"/>
      <c r="CU579" s="20"/>
      <c r="CV579" s="20"/>
      <c r="DA579" s="18">
        <f t="shared" ref="DA579:DA642" si="103">IF($BZ$2=1,CN579,CB579)</f>
        <v>0</v>
      </c>
      <c r="DB579" s="19">
        <f t="shared" ref="DB579:DB642" si="104">IF($BZ$2=1,CO579,CC579)</f>
        <v>0</v>
      </c>
      <c r="DC579" s="19">
        <f t="shared" ref="DC579:DC642" si="105">IF($BZ$2=1,CP579,CD579)</f>
        <v>0</v>
      </c>
      <c r="DD579" s="19">
        <f t="shared" ref="DD579:DD642" si="106">IF($BZ$2=1,CQ579,CE579)</f>
        <v>0</v>
      </c>
      <c r="DE579" s="19">
        <f t="shared" ref="DE579:DE642" si="107">IF($BZ$2=1,CR579,CF579)</f>
        <v>0</v>
      </c>
      <c r="DF579" s="19">
        <f t="shared" ref="DF579:DF642" si="108">IF($BZ$2=1,CS579,CG579)</f>
        <v>0</v>
      </c>
      <c r="DG579" s="19">
        <f t="shared" ref="DG579:DG642" si="109">IF($BZ$2=1,CT579,CH579)</f>
        <v>0</v>
      </c>
      <c r="DH579" s="20">
        <f t="shared" ref="DH579:DH642" si="110">IF($BZ$2=1,CU579,CI579)</f>
        <v>0</v>
      </c>
      <c r="DI579" s="20">
        <f t="shared" ref="DI579:DI642" si="111">IF($BZ$2=1,CV579,CJ579)</f>
        <v>0</v>
      </c>
    </row>
    <row r="580" spans="80:113" x14ac:dyDescent="0.3">
      <c r="CB580" s="18"/>
      <c r="CC580" s="19"/>
      <c r="CD580" s="19"/>
      <c r="CE580" s="19"/>
      <c r="CF580" s="19"/>
      <c r="CG580" s="19"/>
      <c r="CH580" s="19"/>
      <c r="CI580" s="18"/>
      <c r="CJ580" s="18"/>
      <c r="CN580" s="18"/>
      <c r="CO580" s="19"/>
      <c r="CP580" s="19"/>
      <c r="CQ580" s="19"/>
      <c r="CR580" s="19"/>
      <c r="CS580" s="19"/>
      <c r="CT580" s="19"/>
      <c r="CU580" s="20"/>
      <c r="CV580" s="20"/>
      <c r="DA580" s="18">
        <f t="shared" si="103"/>
        <v>0</v>
      </c>
      <c r="DB580" s="19">
        <f t="shared" si="104"/>
        <v>0</v>
      </c>
      <c r="DC580" s="19">
        <f t="shared" si="105"/>
        <v>0</v>
      </c>
      <c r="DD580" s="19">
        <f t="shared" si="106"/>
        <v>0</v>
      </c>
      <c r="DE580" s="19">
        <f t="shared" si="107"/>
        <v>0</v>
      </c>
      <c r="DF580" s="19">
        <f t="shared" si="108"/>
        <v>0</v>
      </c>
      <c r="DG580" s="19">
        <f t="shared" si="109"/>
        <v>0</v>
      </c>
      <c r="DH580" s="20">
        <f t="shared" si="110"/>
        <v>0</v>
      </c>
      <c r="DI580" s="20">
        <f t="shared" si="111"/>
        <v>0</v>
      </c>
    </row>
    <row r="581" spans="80:113" x14ac:dyDescent="0.3">
      <c r="CB581" s="18"/>
      <c r="CC581" s="19"/>
      <c r="CD581" s="19"/>
      <c r="CE581" s="19"/>
      <c r="CF581" s="19"/>
      <c r="CG581" s="19"/>
      <c r="CH581" s="19"/>
      <c r="CI581" s="18"/>
      <c r="CJ581" s="18"/>
      <c r="CN581" s="18"/>
      <c r="CO581" s="19"/>
      <c r="CP581" s="19"/>
      <c r="CQ581" s="19"/>
      <c r="CR581" s="19"/>
      <c r="CS581" s="19"/>
      <c r="CT581" s="19"/>
      <c r="CU581" s="20"/>
      <c r="CV581" s="20"/>
      <c r="DA581" s="18">
        <f t="shared" si="103"/>
        <v>0</v>
      </c>
      <c r="DB581" s="19">
        <f t="shared" si="104"/>
        <v>0</v>
      </c>
      <c r="DC581" s="19">
        <f t="shared" si="105"/>
        <v>0</v>
      </c>
      <c r="DD581" s="19">
        <f t="shared" si="106"/>
        <v>0</v>
      </c>
      <c r="DE581" s="19">
        <f t="shared" si="107"/>
        <v>0</v>
      </c>
      <c r="DF581" s="19">
        <f t="shared" si="108"/>
        <v>0</v>
      </c>
      <c r="DG581" s="19">
        <f t="shared" si="109"/>
        <v>0</v>
      </c>
      <c r="DH581" s="20">
        <f t="shared" si="110"/>
        <v>0</v>
      </c>
      <c r="DI581" s="20">
        <f t="shared" si="111"/>
        <v>0</v>
      </c>
    </row>
    <row r="582" spans="80:113" x14ac:dyDescent="0.3">
      <c r="CB582" s="18"/>
      <c r="CC582" s="19"/>
      <c r="CD582" s="19"/>
      <c r="CE582" s="19"/>
      <c r="CF582" s="19"/>
      <c r="CG582" s="19"/>
      <c r="CH582" s="19"/>
      <c r="CI582" s="18"/>
      <c r="CJ582" s="18"/>
      <c r="CN582" s="18"/>
      <c r="CO582" s="19"/>
      <c r="CP582" s="19"/>
      <c r="CQ582" s="19"/>
      <c r="CR582" s="19"/>
      <c r="CS582" s="19"/>
      <c r="CT582" s="19"/>
      <c r="CU582" s="20"/>
      <c r="CV582" s="20"/>
      <c r="DA582" s="18">
        <f t="shared" si="103"/>
        <v>0</v>
      </c>
      <c r="DB582" s="19">
        <f t="shared" si="104"/>
        <v>0</v>
      </c>
      <c r="DC582" s="19">
        <f t="shared" si="105"/>
        <v>0</v>
      </c>
      <c r="DD582" s="19">
        <f t="shared" si="106"/>
        <v>0</v>
      </c>
      <c r="DE582" s="19">
        <f t="shared" si="107"/>
        <v>0</v>
      </c>
      <c r="DF582" s="19">
        <f t="shared" si="108"/>
        <v>0</v>
      </c>
      <c r="DG582" s="19">
        <f t="shared" si="109"/>
        <v>0</v>
      </c>
      <c r="DH582" s="20">
        <f t="shared" si="110"/>
        <v>0</v>
      </c>
      <c r="DI582" s="20">
        <f t="shared" si="111"/>
        <v>0</v>
      </c>
    </row>
    <row r="583" spans="80:113" x14ac:dyDescent="0.3">
      <c r="CB583" s="18"/>
      <c r="CC583" s="19"/>
      <c r="CD583" s="19"/>
      <c r="CE583" s="19"/>
      <c r="CF583" s="19"/>
      <c r="CG583" s="19"/>
      <c r="CH583" s="19"/>
      <c r="CI583" s="18"/>
      <c r="CJ583" s="18"/>
      <c r="CN583" s="18"/>
      <c r="CO583" s="19"/>
      <c r="CP583" s="19"/>
      <c r="CQ583" s="19"/>
      <c r="CR583" s="19"/>
      <c r="CS583" s="19"/>
      <c r="CT583" s="19"/>
      <c r="CU583" s="20"/>
      <c r="CV583" s="20"/>
      <c r="DA583" s="18">
        <f t="shared" si="103"/>
        <v>0</v>
      </c>
      <c r="DB583" s="19">
        <f t="shared" si="104"/>
        <v>0</v>
      </c>
      <c r="DC583" s="19">
        <f t="shared" si="105"/>
        <v>0</v>
      </c>
      <c r="DD583" s="19">
        <f t="shared" si="106"/>
        <v>0</v>
      </c>
      <c r="DE583" s="19">
        <f t="shared" si="107"/>
        <v>0</v>
      </c>
      <c r="DF583" s="19">
        <f t="shared" si="108"/>
        <v>0</v>
      </c>
      <c r="DG583" s="19">
        <f t="shared" si="109"/>
        <v>0</v>
      </c>
      <c r="DH583" s="20">
        <f t="shared" si="110"/>
        <v>0</v>
      </c>
      <c r="DI583" s="20">
        <f t="shared" si="111"/>
        <v>0</v>
      </c>
    </row>
    <row r="584" spans="80:113" x14ac:dyDescent="0.3">
      <c r="CB584" s="18"/>
      <c r="CC584" s="19"/>
      <c r="CD584" s="19"/>
      <c r="CE584" s="19"/>
      <c r="CF584" s="19"/>
      <c r="CG584" s="19"/>
      <c r="CH584" s="19"/>
      <c r="CI584" s="18"/>
      <c r="CJ584" s="18"/>
      <c r="CN584" s="18"/>
      <c r="CO584" s="19"/>
      <c r="CP584" s="19"/>
      <c r="CQ584" s="19"/>
      <c r="CR584" s="19"/>
      <c r="CS584" s="19"/>
      <c r="CT584" s="19"/>
      <c r="CU584" s="20"/>
      <c r="CV584" s="20"/>
      <c r="DA584" s="18">
        <f t="shared" si="103"/>
        <v>0</v>
      </c>
      <c r="DB584" s="19">
        <f t="shared" si="104"/>
        <v>0</v>
      </c>
      <c r="DC584" s="19">
        <f t="shared" si="105"/>
        <v>0</v>
      </c>
      <c r="DD584" s="19">
        <f t="shared" si="106"/>
        <v>0</v>
      </c>
      <c r="DE584" s="19">
        <f t="shared" si="107"/>
        <v>0</v>
      </c>
      <c r="DF584" s="19">
        <f t="shared" si="108"/>
        <v>0</v>
      </c>
      <c r="DG584" s="19">
        <f t="shared" si="109"/>
        <v>0</v>
      </c>
      <c r="DH584" s="20">
        <f t="shared" si="110"/>
        <v>0</v>
      </c>
      <c r="DI584" s="20">
        <f t="shared" si="111"/>
        <v>0</v>
      </c>
    </row>
    <row r="585" spans="80:113" x14ac:dyDescent="0.3">
      <c r="CB585" s="18"/>
      <c r="CC585" s="19"/>
      <c r="CD585" s="19"/>
      <c r="CE585" s="19"/>
      <c r="CF585" s="19"/>
      <c r="CG585" s="19"/>
      <c r="CH585" s="19"/>
      <c r="CI585" s="18"/>
      <c r="CJ585" s="18"/>
      <c r="CN585" s="18"/>
      <c r="CO585" s="19"/>
      <c r="CP585" s="19"/>
      <c r="CQ585" s="19"/>
      <c r="CR585" s="19"/>
      <c r="CS585" s="19"/>
      <c r="CT585" s="19"/>
      <c r="CU585" s="20"/>
      <c r="CV585" s="20"/>
      <c r="DA585" s="18">
        <f t="shared" si="103"/>
        <v>0</v>
      </c>
      <c r="DB585" s="19">
        <f t="shared" si="104"/>
        <v>0</v>
      </c>
      <c r="DC585" s="19">
        <f t="shared" si="105"/>
        <v>0</v>
      </c>
      <c r="DD585" s="19">
        <f t="shared" si="106"/>
        <v>0</v>
      </c>
      <c r="DE585" s="19">
        <f t="shared" si="107"/>
        <v>0</v>
      </c>
      <c r="DF585" s="19">
        <f t="shared" si="108"/>
        <v>0</v>
      </c>
      <c r="DG585" s="19">
        <f t="shared" si="109"/>
        <v>0</v>
      </c>
      <c r="DH585" s="20">
        <f t="shared" si="110"/>
        <v>0</v>
      </c>
      <c r="DI585" s="20">
        <f t="shared" si="111"/>
        <v>0</v>
      </c>
    </row>
    <row r="586" spans="80:113" x14ac:dyDescent="0.3">
      <c r="CB586" s="18"/>
      <c r="CC586" s="19"/>
      <c r="CD586" s="19"/>
      <c r="CE586" s="19"/>
      <c r="CF586" s="19"/>
      <c r="CG586" s="19"/>
      <c r="CH586" s="19"/>
      <c r="CI586" s="18"/>
      <c r="CJ586" s="18"/>
      <c r="CN586" s="18"/>
      <c r="CO586" s="19"/>
      <c r="CP586" s="19"/>
      <c r="CQ586" s="19"/>
      <c r="CR586" s="19"/>
      <c r="CS586" s="19"/>
      <c r="CT586" s="19"/>
      <c r="CU586" s="20"/>
      <c r="CV586" s="20"/>
      <c r="DA586" s="18">
        <f t="shared" si="103"/>
        <v>0</v>
      </c>
      <c r="DB586" s="19">
        <f t="shared" si="104"/>
        <v>0</v>
      </c>
      <c r="DC586" s="19">
        <f t="shared" si="105"/>
        <v>0</v>
      </c>
      <c r="DD586" s="19">
        <f t="shared" si="106"/>
        <v>0</v>
      </c>
      <c r="DE586" s="19">
        <f t="shared" si="107"/>
        <v>0</v>
      </c>
      <c r="DF586" s="19">
        <f t="shared" si="108"/>
        <v>0</v>
      </c>
      <c r="DG586" s="19">
        <f t="shared" si="109"/>
        <v>0</v>
      </c>
      <c r="DH586" s="20">
        <f t="shared" si="110"/>
        <v>0</v>
      </c>
      <c r="DI586" s="20">
        <f t="shared" si="111"/>
        <v>0</v>
      </c>
    </row>
    <row r="587" spans="80:113" x14ac:dyDescent="0.3">
      <c r="CB587" s="18"/>
      <c r="CC587" s="19"/>
      <c r="CD587" s="19"/>
      <c r="CE587" s="19"/>
      <c r="CF587" s="19"/>
      <c r="CG587" s="19"/>
      <c r="CH587" s="19"/>
      <c r="CI587" s="18"/>
      <c r="CJ587" s="18"/>
      <c r="CN587" s="18"/>
      <c r="CO587" s="19"/>
      <c r="CP587" s="19"/>
      <c r="CQ587" s="19"/>
      <c r="CR587" s="19"/>
      <c r="CS587" s="19"/>
      <c r="CT587" s="19"/>
      <c r="CU587" s="20"/>
      <c r="CV587" s="20"/>
      <c r="DA587" s="18">
        <f t="shared" si="103"/>
        <v>0</v>
      </c>
      <c r="DB587" s="19">
        <f t="shared" si="104"/>
        <v>0</v>
      </c>
      <c r="DC587" s="19">
        <f t="shared" si="105"/>
        <v>0</v>
      </c>
      <c r="DD587" s="19">
        <f t="shared" si="106"/>
        <v>0</v>
      </c>
      <c r="DE587" s="19">
        <f t="shared" si="107"/>
        <v>0</v>
      </c>
      <c r="DF587" s="19">
        <f t="shared" si="108"/>
        <v>0</v>
      </c>
      <c r="DG587" s="19">
        <f t="shared" si="109"/>
        <v>0</v>
      </c>
      <c r="DH587" s="20">
        <f t="shared" si="110"/>
        <v>0</v>
      </c>
      <c r="DI587" s="20">
        <f t="shared" si="111"/>
        <v>0</v>
      </c>
    </row>
    <row r="588" spans="80:113" x14ac:dyDescent="0.3">
      <c r="CB588" s="18"/>
      <c r="CC588" s="19"/>
      <c r="CD588" s="19"/>
      <c r="CE588" s="19"/>
      <c r="CF588" s="19"/>
      <c r="CG588" s="19"/>
      <c r="CH588" s="19"/>
      <c r="CI588" s="18"/>
      <c r="CJ588" s="18"/>
      <c r="CN588" s="18"/>
      <c r="CO588" s="19"/>
      <c r="CP588" s="19"/>
      <c r="CQ588" s="19"/>
      <c r="CR588" s="19"/>
      <c r="CS588" s="19"/>
      <c r="CT588" s="19"/>
      <c r="CU588" s="20"/>
      <c r="CV588" s="20"/>
      <c r="DA588" s="18">
        <f t="shared" si="103"/>
        <v>0</v>
      </c>
      <c r="DB588" s="19">
        <f t="shared" si="104"/>
        <v>0</v>
      </c>
      <c r="DC588" s="19">
        <f t="shared" si="105"/>
        <v>0</v>
      </c>
      <c r="DD588" s="19">
        <f t="shared" si="106"/>
        <v>0</v>
      </c>
      <c r="DE588" s="19">
        <f t="shared" si="107"/>
        <v>0</v>
      </c>
      <c r="DF588" s="19">
        <f t="shared" si="108"/>
        <v>0</v>
      </c>
      <c r="DG588" s="19">
        <f t="shared" si="109"/>
        <v>0</v>
      </c>
      <c r="DH588" s="20">
        <f t="shared" si="110"/>
        <v>0</v>
      </c>
      <c r="DI588" s="20">
        <f t="shared" si="111"/>
        <v>0</v>
      </c>
    </row>
    <row r="589" spans="80:113" x14ac:dyDescent="0.3">
      <c r="CB589" s="18"/>
      <c r="CC589" s="19"/>
      <c r="CD589" s="19"/>
      <c r="CE589" s="19"/>
      <c r="CF589" s="19"/>
      <c r="CG589" s="19"/>
      <c r="CH589" s="19"/>
      <c r="CI589" s="18"/>
      <c r="CJ589" s="18"/>
      <c r="CN589" s="18"/>
      <c r="CO589" s="19"/>
      <c r="CP589" s="19"/>
      <c r="CQ589" s="19"/>
      <c r="CR589" s="19"/>
      <c r="CS589" s="19"/>
      <c r="CT589" s="19"/>
      <c r="CU589" s="20"/>
      <c r="CV589" s="20"/>
      <c r="DA589" s="18">
        <f t="shared" si="103"/>
        <v>0</v>
      </c>
      <c r="DB589" s="19">
        <f t="shared" si="104"/>
        <v>0</v>
      </c>
      <c r="DC589" s="19">
        <f t="shared" si="105"/>
        <v>0</v>
      </c>
      <c r="DD589" s="19">
        <f t="shared" si="106"/>
        <v>0</v>
      </c>
      <c r="DE589" s="19">
        <f t="shared" si="107"/>
        <v>0</v>
      </c>
      <c r="DF589" s="19">
        <f t="shared" si="108"/>
        <v>0</v>
      </c>
      <c r="DG589" s="19">
        <f t="shared" si="109"/>
        <v>0</v>
      </c>
      <c r="DH589" s="20">
        <f t="shared" si="110"/>
        <v>0</v>
      </c>
      <c r="DI589" s="20">
        <f t="shared" si="111"/>
        <v>0</v>
      </c>
    </row>
    <row r="590" spans="80:113" x14ac:dyDescent="0.3">
      <c r="CB590" s="18"/>
      <c r="CC590" s="19"/>
      <c r="CD590" s="19"/>
      <c r="CE590" s="19"/>
      <c r="CF590" s="19"/>
      <c r="CG590" s="19"/>
      <c r="CH590" s="19"/>
      <c r="CI590" s="18"/>
      <c r="CJ590" s="18"/>
      <c r="CN590" s="18"/>
      <c r="CO590" s="19"/>
      <c r="CP590" s="19"/>
      <c r="CQ590" s="19"/>
      <c r="CR590" s="19"/>
      <c r="CS590" s="19"/>
      <c r="CT590" s="19"/>
      <c r="CU590" s="20"/>
      <c r="CV590" s="20"/>
      <c r="DA590" s="18">
        <f t="shared" si="103"/>
        <v>0</v>
      </c>
      <c r="DB590" s="19">
        <f t="shared" si="104"/>
        <v>0</v>
      </c>
      <c r="DC590" s="19">
        <f t="shared" si="105"/>
        <v>0</v>
      </c>
      <c r="DD590" s="19">
        <f t="shared" si="106"/>
        <v>0</v>
      </c>
      <c r="DE590" s="19">
        <f t="shared" si="107"/>
        <v>0</v>
      </c>
      <c r="DF590" s="19">
        <f t="shared" si="108"/>
        <v>0</v>
      </c>
      <c r="DG590" s="19">
        <f t="shared" si="109"/>
        <v>0</v>
      </c>
      <c r="DH590" s="20">
        <f t="shared" si="110"/>
        <v>0</v>
      </c>
      <c r="DI590" s="20">
        <f t="shared" si="111"/>
        <v>0</v>
      </c>
    </row>
    <row r="591" spans="80:113" x14ac:dyDescent="0.3">
      <c r="CB591" s="18"/>
      <c r="CC591" s="19"/>
      <c r="CD591" s="19"/>
      <c r="CE591" s="19"/>
      <c r="CF591" s="19"/>
      <c r="CG591" s="19"/>
      <c r="CH591" s="19"/>
      <c r="CI591" s="18"/>
      <c r="CJ591" s="18"/>
      <c r="CN591" s="18"/>
      <c r="CO591" s="19"/>
      <c r="CP591" s="19"/>
      <c r="CQ591" s="19"/>
      <c r="CR591" s="19"/>
      <c r="CS591" s="19"/>
      <c r="CT591" s="19"/>
      <c r="CU591" s="20"/>
      <c r="CV591" s="20"/>
      <c r="DA591" s="18">
        <f t="shared" si="103"/>
        <v>0</v>
      </c>
      <c r="DB591" s="19">
        <f t="shared" si="104"/>
        <v>0</v>
      </c>
      <c r="DC591" s="19">
        <f t="shared" si="105"/>
        <v>0</v>
      </c>
      <c r="DD591" s="19">
        <f t="shared" si="106"/>
        <v>0</v>
      </c>
      <c r="DE591" s="19">
        <f t="shared" si="107"/>
        <v>0</v>
      </c>
      <c r="DF591" s="19">
        <f t="shared" si="108"/>
        <v>0</v>
      </c>
      <c r="DG591" s="19">
        <f t="shared" si="109"/>
        <v>0</v>
      </c>
      <c r="DH591" s="20">
        <f t="shared" si="110"/>
        <v>0</v>
      </c>
      <c r="DI591" s="20">
        <f t="shared" si="111"/>
        <v>0</v>
      </c>
    </row>
    <row r="592" spans="80:113" x14ac:dyDescent="0.3">
      <c r="CB592" s="18"/>
      <c r="CC592" s="19"/>
      <c r="CD592" s="19"/>
      <c r="CE592" s="19"/>
      <c r="CF592" s="19"/>
      <c r="CG592" s="19"/>
      <c r="CH592" s="19"/>
      <c r="CI592" s="18"/>
      <c r="CJ592" s="18"/>
      <c r="CN592" s="18"/>
      <c r="CO592" s="19"/>
      <c r="CP592" s="19"/>
      <c r="CQ592" s="19"/>
      <c r="CR592" s="19"/>
      <c r="CS592" s="19"/>
      <c r="CT592" s="19"/>
      <c r="CU592" s="20"/>
      <c r="CV592" s="20"/>
      <c r="DA592" s="18">
        <f t="shared" si="103"/>
        <v>0</v>
      </c>
      <c r="DB592" s="19">
        <f t="shared" si="104"/>
        <v>0</v>
      </c>
      <c r="DC592" s="19">
        <f t="shared" si="105"/>
        <v>0</v>
      </c>
      <c r="DD592" s="19">
        <f t="shared" si="106"/>
        <v>0</v>
      </c>
      <c r="DE592" s="19">
        <f t="shared" si="107"/>
        <v>0</v>
      </c>
      <c r="DF592" s="19">
        <f t="shared" si="108"/>
        <v>0</v>
      </c>
      <c r="DG592" s="19">
        <f t="shared" si="109"/>
        <v>0</v>
      </c>
      <c r="DH592" s="20">
        <f t="shared" si="110"/>
        <v>0</v>
      </c>
      <c r="DI592" s="20">
        <f t="shared" si="111"/>
        <v>0</v>
      </c>
    </row>
    <row r="593" spans="80:113" x14ac:dyDescent="0.3">
      <c r="CB593" s="18"/>
      <c r="CC593" s="19"/>
      <c r="CD593" s="19"/>
      <c r="CE593" s="19"/>
      <c r="CF593" s="19"/>
      <c r="CG593" s="19"/>
      <c r="CH593" s="19"/>
      <c r="CI593" s="18"/>
      <c r="CJ593" s="18"/>
      <c r="CN593" s="18"/>
      <c r="CO593" s="19"/>
      <c r="CP593" s="19"/>
      <c r="CQ593" s="19"/>
      <c r="CR593" s="19"/>
      <c r="CS593" s="19"/>
      <c r="CT593" s="19"/>
      <c r="CU593" s="20"/>
      <c r="CV593" s="20"/>
      <c r="DA593" s="18">
        <f t="shared" si="103"/>
        <v>0</v>
      </c>
      <c r="DB593" s="19">
        <f t="shared" si="104"/>
        <v>0</v>
      </c>
      <c r="DC593" s="19">
        <f t="shared" si="105"/>
        <v>0</v>
      </c>
      <c r="DD593" s="19">
        <f t="shared" si="106"/>
        <v>0</v>
      </c>
      <c r="DE593" s="19">
        <f t="shared" si="107"/>
        <v>0</v>
      </c>
      <c r="DF593" s="19">
        <f t="shared" si="108"/>
        <v>0</v>
      </c>
      <c r="DG593" s="19">
        <f t="shared" si="109"/>
        <v>0</v>
      </c>
      <c r="DH593" s="20">
        <f t="shared" si="110"/>
        <v>0</v>
      </c>
      <c r="DI593" s="20">
        <f t="shared" si="111"/>
        <v>0</v>
      </c>
    </row>
    <row r="594" spans="80:113" x14ac:dyDescent="0.3">
      <c r="CB594" s="18"/>
      <c r="CC594" s="19"/>
      <c r="CD594" s="19"/>
      <c r="CE594" s="19"/>
      <c r="CF594" s="19"/>
      <c r="CG594" s="19"/>
      <c r="CH594" s="19"/>
      <c r="CI594" s="18"/>
      <c r="CJ594" s="18"/>
      <c r="CN594" s="18"/>
      <c r="CO594" s="19"/>
      <c r="CP594" s="19"/>
      <c r="CQ594" s="19"/>
      <c r="CR594" s="19"/>
      <c r="CS594" s="19"/>
      <c r="CT594" s="19"/>
      <c r="CU594" s="20"/>
      <c r="CV594" s="20"/>
      <c r="DA594" s="18">
        <f t="shared" si="103"/>
        <v>0</v>
      </c>
      <c r="DB594" s="19">
        <f t="shared" si="104"/>
        <v>0</v>
      </c>
      <c r="DC594" s="19">
        <f t="shared" si="105"/>
        <v>0</v>
      </c>
      <c r="DD594" s="19">
        <f t="shared" si="106"/>
        <v>0</v>
      </c>
      <c r="DE594" s="19">
        <f t="shared" si="107"/>
        <v>0</v>
      </c>
      <c r="DF594" s="19">
        <f t="shared" si="108"/>
        <v>0</v>
      </c>
      <c r="DG594" s="19">
        <f t="shared" si="109"/>
        <v>0</v>
      </c>
      <c r="DH594" s="20">
        <f t="shared" si="110"/>
        <v>0</v>
      </c>
      <c r="DI594" s="20">
        <f t="shared" si="111"/>
        <v>0</v>
      </c>
    </row>
    <row r="595" spans="80:113" x14ac:dyDescent="0.3">
      <c r="CB595" s="18"/>
      <c r="CC595" s="19"/>
      <c r="CD595" s="19"/>
      <c r="CE595" s="19"/>
      <c r="CF595" s="19"/>
      <c r="CG595" s="19"/>
      <c r="CH595" s="19"/>
      <c r="CI595" s="18"/>
      <c r="CJ595" s="18"/>
      <c r="CN595" s="18"/>
      <c r="CO595" s="19"/>
      <c r="CP595" s="19"/>
      <c r="CQ595" s="19"/>
      <c r="CR595" s="19"/>
      <c r="CS595" s="19"/>
      <c r="CT595" s="19"/>
      <c r="CU595" s="20"/>
      <c r="CV595" s="20"/>
      <c r="DA595" s="18">
        <f t="shared" si="103"/>
        <v>0</v>
      </c>
      <c r="DB595" s="19">
        <f t="shared" si="104"/>
        <v>0</v>
      </c>
      <c r="DC595" s="19">
        <f t="shared" si="105"/>
        <v>0</v>
      </c>
      <c r="DD595" s="19">
        <f t="shared" si="106"/>
        <v>0</v>
      </c>
      <c r="DE595" s="19">
        <f t="shared" si="107"/>
        <v>0</v>
      </c>
      <c r="DF595" s="19">
        <f t="shared" si="108"/>
        <v>0</v>
      </c>
      <c r="DG595" s="19">
        <f t="shared" si="109"/>
        <v>0</v>
      </c>
      <c r="DH595" s="20">
        <f t="shared" si="110"/>
        <v>0</v>
      </c>
      <c r="DI595" s="20">
        <f t="shared" si="111"/>
        <v>0</v>
      </c>
    </row>
    <row r="596" spans="80:113" x14ac:dyDescent="0.3">
      <c r="CB596" s="18"/>
      <c r="CC596" s="19"/>
      <c r="CD596" s="19"/>
      <c r="CE596" s="19"/>
      <c r="CF596" s="19"/>
      <c r="CG596" s="19"/>
      <c r="CH596" s="19"/>
      <c r="CI596" s="18"/>
      <c r="CJ596" s="18"/>
      <c r="CN596" s="18"/>
      <c r="CO596" s="19"/>
      <c r="CP596" s="19"/>
      <c r="CQ596" s="19"/>
      <c r="CR596" s="19"/>
      <c r="CS596" s="19"/>
      <c r="CT596" s="19"/>
      <c r="CU596" s="20"/>
      <c r="CV596" s="20"/>
      <c r="DA596" s="18">
        <f t="shared" si="103"/>
        <v>0</v>
      </c>
      <c r="DB596" s="19">
        <f t="shared" si="104"/>
        <v>0</v>
      </c>
      <c r="DC596" s="19">
        <f t="shared" si="105"/>
        <v>0</v>
      </c>
      <c r="DD596" s="19">
        <f t="shared" si="106"/>
        <v>0</v>
      </c>
      <c r="DE596" s="19">
        <f t="shared" si="107"/>
        <v>0</v>
      </c>
      <c r="DF596" s="19">
        <f t="shared" si="108"/>
        <v>0</v>
      </c>
      <c r="DG596" s="19">
        <f t="shared" si="109"/>
        <v>0</v>
      </c>
      <c r="DH596" s="20">
        <f t="shared" si="110"/>
        <v>0</v>
      </c>
      <c r="DI596" s="20">
        <f t="shared" si="111"/>
        <v>0</v>
      </c>
    </row>
    <row r="597" spans="80:113" x14ac:dyDescent="0.3">
      <c r="CB597" s="18"/>
      <c r="CC597" s="19"/>
      <c r="CD597" s="19"/>
      <c r="CE597" s="19"/>
      <c r="CF597" s="19"/>
      <c r="CG597" s="19"/>
      <c r="CH597" s="19"/>
      <c r="CI597" s="18"/>
      <c r="CJ597" s="18"/>
      <c r="CN597" s="18"/>
      <c r="CO597" s="19"/>
      <c r="CP597" s="19"/>
      <c r="CQ597" s="19"/>
      <c r="CR597" s="19"/>
      <c r="CS597" s="19"/>
      <c r="CT597" s="19"/>
      <c r="CU597" s="20"/>
      <c r="CV597" s="20"/>
      <c r="DA597" s="18">
        <f t="shared" si="103"/>
        <v>0</v>
      </c>
      <c r="DB597" s="19">
        <f t="shared" si="104"/>
        <v>0</v>
      </c>
      <c r="DC597" s="19">
        <f t="shared" si="105"/>
        <v>0</v>
      </c>
      <c r="DD597" s="19">
        <f t="shared" si="106"/>
        <v>0</v>
      </c>
      <c r="DE597" s="19">
        <f t="shared" si="107"/>
        <v>0</v>
      </c>
      <c r="DF597" s="19">
        <f t="shared" si="108"/>
        <v>0</v>
      </c>
      <c r="DG597" s="19">
        <f t="shared" si="109"/>
        <v>0</v>
      </c>
      <c r="DH597" s="20">
        <f t="shared" si="110"/>
        <v>0</v>
      </c>
      <c r="DI597" s="20">
        <f t="shared" si="111"/>
        <v>0</v>
      </c>
    </row>
    <row r="598" spans="80:113" x14ac:dyDescent="0.3">
      <c r="CB598" s="18"/>
      <c r="CC598" s="19"/>
      <c r="CD598" s="19"/>
      <c r="CE598" s="19"/>
      <c r="CF598" s="19"/>
      <c r="CG598" s="19"/>
      <c r="CH598" s="19"/>
      <c r="CI598" s="18"/>
      <c r="CJ598" s="18"/>
      <c r="CN598" s="18"/>
      <c r="CO598" s="19"/>
      <c r="CP598" s="19"/>
      <c r="CQ598" s="19"/>
      <c r="CR598" s="19"/>
      <c r="CS598" s="19"/>
      <c r="CT598" s="19"/>
      <c r="CU598" s="20"/>
      <c r="CV598" s="20"/>
      <c r="DA598" s="18">
        <f t="shared" si="103"/>
        <v>0</v>
      </c>
      <c r="DB598" s="19">
        <f t="shared" si="104"/>
        <v>0</v>
      </c>
      <c r="DC598" s="19">
        <f t="shared" si="105"/>
        <v>0</v>
      </c>
      <c r="DD598" s="19">
        <f t="shared" si="106"/>
        <v>0</v>
      </c>
      <c r="DE598" s="19">
        <f t="shared" si="107"/>
        <v>0</v>
      </c>
      <c r="DF598" s="19">
        <f t="shared" si="108"/>
        <v>0</v>
      </c>
      <c r="DG598" s="19">
        <f t="shared" si="109"/>
        <v>0</v>
      </c>
      <c r="DH598" s="20">
        <f t="shared" si="110"/>
        <v>0</v>
      </c>
      <c r="DI598" s="20">
        <f t="shared" si="111"/>
        <v>0</v>
      </c>
    </row>
    <row r="599" spans="80:113" x14ac:dyDescent="0.3">
      <c r="CB599" s="18"/>
      <c r="CC599" s="19"/>
      <c r="CD599" s="19"/>
      <c r="CE599" s="19"/>
      <c r="CF599" s="19"/>
      <c r="CG599" s="19"/>
      <c r="CH599" s="19"/>
      <c r="CI599" s="18"/>
      <c r="CJ599" s="18"/>
      <c r="CN599" s="18"/>
      <c r="CO599" s="19"/>
      <c r="CP599" s="19"/>
      <c r="CQ599" s="19"/>
      <c r="CR599" s="19"/>
      <c r="CS599" s="19"/>
      <c r="CT599" s="19"/>
      <c r="CU599" s="20"/>
      <c r="CV599" s="20"/>
      <c r="DA599" s="18">
        <f t="shared" si="103"/>
        <v>0</v>
      </c>
      <c r="DB599" s="19">
        <f t="shared" si="104"/>
        <v>0</v>
      </c>
      <c r="DC599" s="19">
        <f t="shared" si="105"/>
        <v>0</v>
      </c>
      <c r="DD599" s="19">
        <f t="shared" si="106"/>
        <v>0</v>
      </c>
      <c r="DE599" s="19">
        <f t="shared" si="107"/>
        <v>0</v>
      </c>
      <c r="DF599" s="19">
        <f t="shared" si="108"/>
        <v>0</v>
      </c>
      <c r="DG599" s="19">
        <f t="shared" si="109"/>
        <v>0</v>
      </c>
      <c r="DH599" s="20">
        <f t="shared" si="110"/>
        <v>0</v>
      </c>
      <c r="DI599" s="20">
        <f t="shared" si="111"/>
        <v>0</v>
      </c>
    </row>
    <row r="600" spans="80:113" x14ac:dyDescent="0.3">
      <c r="CB600" s="18"/>
      <c r="CC600" s="19"/>
      <c r="CD600" s="19"/>
      <c r="CE600" s="19"/>
      <c r="CF600" s="19"/>
      <c r="CG600" s="19"/>
      <c r="CH600" s="19"/>
      <c r="CI600" s="18"/>
      <c r="CJ600" s="18"/>
      <c r="CN600" s="18"/>
      <c r="CO600" s="19"/>
      <c r="CP600" s="19"/>
      <c r="CQ600" s="19"/>
      <c r="CR600" s="19"/>
      <c r="CS600" s="19"/>
      <c r="CT600" s="19"/>
      <c r="CU600" s="20"/>
      <c r="CV600" s="20"/>
      <c r="DA600" s="18">
        <f t="shared" si="103"/>
        <v>0</v>
      </c>
      <c r="DB600" s="19">
        <f t="shared" si="104"/>
        <v>0</v>
      </c>
      <c r="DC600" s="19">
        <f t="shared" si="105"/>
        <v>0</v>
      </c>
      <c r="DD600" s="19">
        <f t="shared" si="106"/>
        <v>0</v>
      </c>
      <c r="DE600" s="19">
        <f t="shared" si="107"/>
        <v>0</v>
      </c>
      <c r="DF600" s="19">
        <f t="shared" si="108"/>
        <v>0</v>
      </c>
      <c r="DG600" s="19">
        <f t="shared" si="109"/>
        <v>0</v>
      </c>
      <c r="DH600" s="20">
        <f t="shared" si="110"/>
        <v>0</v>
      </c>
      <c r="DI600" s="20">
        <f t="shared" si="111"/>
        <v>0</v>
      </c>
    </row>
    <row r="601" spans="80:113" x14ac:dyDescent="0.3">
      <c r="CB601" s="18"/>
      <c r="CC601" s="19"/>
      <c r="CD601" s="19"/>
      <c r="CE601" s="19"/>
      <c r="CF601" s="19"/>
      <c r="CG601" s="19"/>
      <c r="CH601" s="19"/>
      <c r="CI601" s="18"/>
      <c r="CJ601" s="18"/>
      <c r="CN601" s="18"/>
      <c r="CO601" s="19"/>
      <c r="CP601" s="19"/>
      <c r="CQ601" s="19"/>
      <c r="CR601" s="19"/>
      <c r="CS601" s="19"/>
      <c r="CT601" s="19"/>
      <c r="CU601" s="20"/>
      <c r="CV601" s="20"/>
      <c r="DA601" s="18">
        <f t="shared" si="103"/>
        <v>0</v>
      </c>
      <c r="DB601" s="19">
        <f t="shared" si="104"/>
        <v>0</v>
      </c>
      <c r="DC601" s="19">
        <f t="shared" si="105"/>
        <v>0</v>
      </c>
      <c r="DD601" s="19">
        <f t="shared" si="106"/>
        <v>0</v>
      </c>
      <c r="DE601" s="19">
        <f t="shared" si="107"/>
        <v>0</v>
      </c>
      <c r="DF601" s="19">
        <f t="shared" si="108"/>
        <v>0</v>
      </c>
      <c r="DG601" s="19">
        <f t="shared" si="109"/>
        <v>0</v>
      </c>
      <c r="DH601" s="20">
        <f t="shared" si="110"/>
        <v>0</v>
      </c>
      <c r="DI601" s="20">
        <f t="shared" si="111"/>
        <v>0</v>
      </c>
    </row>
    <row r="602" spans="80:113" x14ac:dyDescent="0.3">
      <c r="CB602" s="18"/>
      <c r="CC602" s="19"/>
      <c r="CD602" s="19"/>
      <c r="CE602" s="19"/>
      <c r="CF602" s="19"/>
      <c r="CG602" s="19"/>
      <c r="CH602" s="19"/>
      <c r="CI602" s="18"/>
      <c r="CJ602" s="18"/>
      <c r="CN602" s="18"/>
      <c r="CO602" s="19"/>
      <c r="CP602" s="19"/>
      <c r="CQ602" s="19"/>
      <c r="CR602" s="19"/>
      <c r="CS602" s="19"/>
      <c r="CT602" s="19"/>
      <c r="CU602" s="20"/>
      <c r="CV602" s="20"/>
      <c r="DA602" s="18">
        <f t="shared" si="103"/>
        <v>0</v>
      </c>
      <c r="DB602" s="19">
        <f t="shared" si="104"/>
        <v>0</v>
      </c>
      <c r="DC602" s="19">
        <f t="shared" si="105"/>
        <v>0</v>
      </c>
      <c r="DD602" s="19">
        <f t="shared" si="106"/>
        <v>0</v>
      </c>
      <c r="DE602" s="19">
        <f t="shared" si="107"/>
        <v>0</v>
      </c>
      <c r="DF602" s="19">
        <f t="shared" si="108"/>
        <v>0</v>
      </c>
      <c r="DG602" s="19">
        <f t="shared" si="109"/>
        <v>0</v>
      </c>
      <c r="DH602" s="20">
        <f t="shared" si="110"/>
        <v>0</v>
      </c>
      <c r="DI602" s="20">
        <f t="shared" si="111"/>
        <v>0</v>
      </c>
    </row>
    <row r="603" spans="80:113" x14ac:dyDescent="0.3">
      <c r="CB603" s="18"/>
      <c r="CC603" s="19"/>
      <c r="CD603" s="19"/>
      <c r="CE603" s="19"/>
      <c r="CF603" s="19"/>
      <c r="CG603" s="19"/>
      <c r="CH603" s="19"/>
      <c r="CI603" s="18"/>
      <c r="CJ603" s="18"/>
      <c r="CN603" s="18"/>
      <c r="CO603" s="19"/>
      <c r="CP603" s="19"/>
      <c r="CQ603" s="19"/>
      <c r="CR603" s="19"/>
      <c r="CS603" s="19"/>
      <c r="CT603" s="19"/>
      <c r="CU603" s="20"/>
      <c r="CV603" s="20"/>
      <c r="DA603" s="18">
        <f t="shared" si="103"/>
        <v>0</v>
      </c>
      <c r="DB603" s="19">
        <f t="shared" si="104"/>
        <v>0</v>
      </c>
      <c r="DC603" s="19">
        <f t="shared" si="105"/>
        <v>0</v>
      </c>
      <c r="DD603" s="19">
        <f t="shared" si="106"/>
        <v>0</v>
      </c>
      <c r="DE603" s="19">
        <f t="shared" si="107"/>
        <v>0</v>
      </c>
      <c r="DF603" s="19">
        <f t="shared" si="108"/>
        <v>0</v>
      </c>
      <c r="DG603" s="19">
        <f t="shared" si="109"/>
        <v>0</v>
      </c>
      <c r="DH603" s="20">
        <f t="shared" si="110"/>
        <v>0</v>
      </c>
      <c r="DI603" s="20">
        <f t="shared" si="111"/>
        <v>0</v>
      </c>
    </row>
    <row r="604" spans="80:113" x14ac:dyDescent="0.3">
      <c r="CB604" s="18"/>
      <c r="CC604" s="19"/>
      <c r="CD604" s="19"/>
      <c r="CE604" s="19"/>
      <c r="CF604" s="19"/>
      <c r="CG604" s="19"/>
      <c r="CH604" s="19"/>
      <c r="CI604" s="18"/>
      <c r="CJ604" s="18"/>
      <c r="CN604" s="18"/>
      <c r="CO604" s="19"/>
      <c r="CP604" s="19"/>
      <c r="CQ604" s="19"/>
      <c r="CR604" s="19"/>
      <c r="CS604" s="19"/>
      <c r="CT604" s="19"/>
      <c r="CU604" s="20"/>
      <c r="CV604" s="20"/>
      <c r="DA604" s="18">
        <f t="shared" si="103"/>
        <v>0</v>
      </c>
      <c r="DB604" s="19">
        <f t="shared" si="104"/>
        <v>0</v>
      </c>
      <c r="DC604" s="19">
        <f t="shared" si="105"/>
        <v>0</v>
      </c>
      <c r="DD604" s="19">
        <f t="shared" si="106"/>
        <v>0</v>
      </c>
      <c r="DE604" s="19">
        <f t="shared" si="107"/>
        <v>0</v>
      </c>
      <c r="DF604" s="19">
        <f t="shared" si="108"/>
        <v>0</v>
      </c>
      <c r="DG604" s="19">
        <f t="shared" si="109"/>
        <v>0</v>
      </c>
      <c r="DH604" s="20">
        <f t="shared" si="110"/>
        <v>0</v>
      </c>
      <c r="DI604" s="20">
        <f t="shared" si="111"/>
        <v>0</v>
      </c>
    </row>
    <row r="605" spans="80:113" x14ac:dyDescent="0.3">
      <c r="CB605" s="18"/>
      <c r="CC605" s="19"/>
      <c r="CD605" s="19"/>
      <c r="CE605" s="19"/>
      <c r="CF605" s="19"/>
      <c r="CG605" s="19"/>
      <c r="CH605" s="19"/>
      <c r="CI605" s="18"/>
      <c r="CJ605" s="18"/>
      <c r="CN605" s="18"/>
      <c r="CO605" s="19"/>
      <c r="CP605" s="19"/>
      <c r="CQ605" s="19"/>
      <c r="CR605" s="19"/>
      <c r="CS605" s="19"/>
      <c r="CT605" s="19"/>
      <c r="CU605" s="20"/>
      <c r="CV605" s="20"/>
      <c r="DA605" s="18">
        <f t="shared" si="103"/>
        <v>0</v>
      </c>
      <c r="DB605" s="19">
        <f t="shared" si="104"/>
        <v>0</v>
      </c>
      <c r="DC605" s="19">
        <f t="shared" si="105"/>
        <v>0</v>
      </c>
      <c r="DD605" s="19">
        <f t="shared" si="106"/>
        <v>0</v>
      </c>
      <c r="DE605" s="19">
        <f t="shared" si="107"/>
        <v>0</v>
      </c>
      <c r="DF605" s="19">
        <f t="shared" si="108"/>
        <v>0</v>
      </c>
      <c r="DG605" s="19">
        <f t="shared" si="109"/>
        <v>0</v>
      </c>
      <c r="DH605" s="20">
        <f t="shared" si="110"/>
        <v>0</v>
      </c>
      <c r="DI605" s="20">
        <f t="shared" si="111"/>
        <v>0</v>
      </c>
    </row>
    <row r="606" spans="80:113" x14ac:dyDescent="0.3">
      <c r="CB606" s="18"/>
      <c r="CC606" s="19"/>
      <c r="CD606" s="19"/>
      <c r="CE606" s="19"/>
      <c r="CF606" s="19"/>
      <c r="CG606" s="19"/>
      <c r="CH606" s="19"/>
      <c r="CI606" s="18"/>
      <c r="CJ606" s="18"/>
      <c r="CN606" s="18"/>
      <c r="CO606" s="19"/>
      <c r="CP606" s="19"/>
      <c r="CQ606" s="19"/>
      <c r="CR606" s="19"/>
      <c r="CS606" s="19"/>
      <c r="CT606" s="19"/>
      <c r="CU606" s="20"/>
      <c r="CV606" s="20"/>
      <c r="DA606" s="18">
        <f t="shared" si="103"/>
        <v>0</v>
      </c>
      <c r="DB606" s="19">
        <f t="shared" si="104"/>
        <v>0</v>
      </c>
      <c r="DC606" s="19">
        <f t="shared" si="105"/>
        <v>0</v>
      </c>
      <c r="DD606" s="19">
        <f t="shared" si="106"/>
        <v>0</v>
      </c>
      <c r="DE606" s="19">
        <f t="shared" si="107"/>
        <v>0</v>
      </c>
      <c r="DF606" s="19">
        <f t="shared" si="108"/>
        <v>0</v>
      </c>
      <c r="DG606" s="19">
        <f t="shared" si="109"/>
        <v>0</v>
      </c>
      <c r="DH606" s="20">
        <f t="shared" si="110"/>
        <v>0</v>
      </c>
      <c r="DI606" s="20">
        <f t="shared" si="111"/>
        <v>0</v>
      </c>
    </row>
    <row r="607" spans="80:113" x14ac:dyDescent="0.3">
      <c r="CB607" s="18"/>
      <c r="CC607" s="19"/>
      <c r="CD607" s="19"/>
      <c r="CE607" s="19"/>
      <c r="CF607" s="19"/>
      <c r="CG607" s="19"/>
      <c r="CH607" s="19"/>
      <c r="CI607" s="18"/>
      <c r="CJ607" s="18"/>
      <c r="CN607" s="18"/>
      <c r="CO607" s="19"/>
      <c r="CP607" s="19"/>
      <c r="CQ607" s="19"/>
      <c r="CR607" s="19"/>
      <c r="CS607" s="19"/>
      <c r="CT607" s="19"/>
      <c r="CU607" s="20"/>
      <c r="CV607" s="20"/>
      <c r="DA607" s="18">
        <f t="shared" si="103"/>
        <v>0</v>
      </c>
      <c r="DB607" s="19">
        <f t="shared" si="104"/>
        <v>0</v>
      </c>
      <c r="DC607" s="19">
        <f t="shared" si="105"/>
        <v>0</v>
      </c>
      <c r="DD607" s="19">
        <f t="shared" si="106"/>
        <v>0</v>
      </c>
      <c r="DE607" s="19">
        <f t="shared" si="107"/>
        <v>0</v>
      </c>
      <c r="DF607" s="19">
        <f t="shared" si="108"/>
        <v>0</v>
      </c>
      <c r="DG607" s="19">
        <f t="shared" si="109"/>
        <v>0</v>
      </c>
      <c r="DH607" s="20">
        <f t="shared" si="110"/>
        <v>0</v>
      </c>
      <c r="DI607" s="20">
        <f t="shared" si="111"/>
        <v>0</v>
      </c>
    </row>
    <row r="608" spans="80:113" x14ac:dyDescent="0.3">
      <c r="CB608" s="18"/>
      <c r="CC608" s="19"/>
      <c r="CD608" s="19"/>
      <c r="CE608" s="19"/>
      <c r="CF608" s="19"/>
      <c r="CG608" s="19"/>
      <c r="CH608" s="19"/>
      <c r="CI608" s="18"/>
      <c r="CJ608" s="18"/>
      <c r="CN608" s="18"/>
      <c r="CO608" s="19"/>
      <c r="CP608" s="19"/>
      <c r="CQ608" s="19"/>
      <c r="CR608" s="19"/>
      <c r="CS608" s="19"/>
      <c r="CT608" s="19"/>
      <c r="CU608" s="20"/>
      <c r="CV608" s="20"/>
      <c r="DA608" s="18">
        <f t="shared" si="103"/>
        <v>0</v>
      </c>
      <c r="DB608" s="19">
        <f t="shared" si="104"/>
        <v>0</v>
      </c>
      <c r="DC608" s="19">
        <f t="shared" si="105"/>
        <v>0</v>
      </c>
      <c r="DD608" s="19">
        <f t="shared" si="106"/>
        <v>0</v>
      </c>
      <c r="DE608" s="19">
        <f t="shared" si="107"/>
        <v>0</v>
      </c>
      <c r="DF608" s="19">
        <f t="shared" si="108"/>
        <v>0</v>
      </c>
      <c r="DG608" s="19">
        <f t="shared" si="109"/>
        <v>0</v>
      </c>
      <c r="DH608" s="20">
        <f t="shared" si="110"/>
        <v>0</v>
      </c>
      <c r="DI608" s="20">
        <f t="shared" si="111"/>
        <v>0</v>
      </c>
    </row>
    <row r="609" spans="80:113" x14ac:dyDescent="0.3">
      <c r="CB609" s="18"/>
      <c r="CC609" s="19"/>
      <c r="CD609" s="19"/>
      <c r="CE609" s="19"/>
      <c r="CF609" s="19"/>
      <c r="CG609" s="19"/>
      <c r="CH609" s="19"/>
      <c r="CI609" s="18"/>
      <c r="CJ609" s="18"/>
      <c r="CN609" s="18"/>
      <c r="CO609" s="19"/>
      <c r="CP609" s="19"/>
      <c r="CQ609" s="19"/>
      <c r="CR609" s="19"/>
      <c r="CS609" s="19"/>
      <c r="CT609" s="19"/>
      <c r="CU609" s="20"/>
      <c r="CV609" s="20"/>
      <c r="DA609" s="18">
        <f t="shared" si="103"/>
        <v>0</v>
      </c>
      <c r="DB609" s="19">
        <f t="shared" si="104"/>
        <v>0</v>
      </c>
      <c r="DC609" s="19">
        <f t="shared" si="105"/>
        <v>0</v>
      </c>
      <c r="DD609" s="19">
        <f t="shared" si="106"/>
        <v>0</v>
      </c>
      <c r="DE609" s="19">
        <f t="shared" si="107"/>
        <v>0</v>
      </c>
      <c r="DF609" s="19">
        <f t="shared" si="108"/>
        <v>0</v>
      </c>
      <c r="DG609" s="19">
        <f t="shared" si="109"/>
        <v>0</v>
      </c>
      <c r="DH609" s="20">
        <f t="shared" si="110"/>
        <v>0</v>
      </c>
      <c r="DI609" s="20">
        <f t="shared" si="111"/>
        <v>0</v>
      </c>
    </row>
    <row r="610" spans="80:113" x14ac:dyDescent="0.3">
      <c r="CB610" s="18"/>
      <c r="CC610" s="19"/>
      <c r="CD610" s="19"/>
      <c r="CE610" s="19"/>
      <c r="CF610" s="19"/>
      <c r="CG610" s="19"/>
      <c r="CH610" s="19"/>
      <c r="CI610" s="18"/>
      <c r="CJ610" s="18"/>
      <c r="CN610" s="18"/>
      <c r="CO610" s="19"/>
      <c r="CP610" s="19"/>
      <c r="CQ610" s="19"/>
      <c r="CR610" s="19"/>
      <c r="CS610" s="19"/>
      <c r="CT610" s="19"/>
      <c r="CU610" s="20"/>
      <c r="CV610" s="20"/>
      <c r="DA610" s="18">
        <f t="shared" si="103"/>
        <v>0</v>
      </c>
      <c r="DB610" s="19">
        <f t="shared" si="104"/>
        <v>0</v>
      </c>
      <c r="DC610" s="19">
        <f t="shared" si="105"/>
        <v>0</v>
      </c>
      <c r="DD610" s="19">
        <f t="shared" si="106"/>
        <v>0</v>
      </c>
      <c r="DE610" s="19">
        <f t="shared" si="107"/>
        <v>0</v>
      </c>
      <c r="DF610" s="19">
        <f t="shared" si="108"/>
        <v>0</v>
      </c>
      <c r="DG610" s="19">
        <f t="shared" si="109"/>
        <v>0</v>
      </c>
      <c r="DH610" s="20">
        <f t="shared" si="110"/>
        <v>0</v>
      </c>
      <c r="DI610" s="20">
        <f t="shared" si="111"/>
        <v>0</v>
      </c>
    </row>
    <row r="611" spans="80:113" x14ac:dyDescent="0.3">
      <c r="CB611" s="18"/>
      <c r="CC611" s="19"/>
      <c r="CD611" s="19"/>
      <c r="CE611" s="19"/>
      <c r="CF611" s="19"/>
      <c r="CG611" s="19"/>
      <c r="CH611" s="19"/>
      <c r="CI611" s="18"/>
      <c r="CJ611" s="18"/>
      <c r="CN611" s="18"/>
      <c r="CO611" s="19"/>
      <c r="CP611" s="19"/>
      <c r="CQ611" s="19"/>
      <c r="CR611" s="19"/>
      <c r="CS611" s="19"/>
      <c r="CT611" s="19"/>
      <c r="CU611" s="20"/>
      <c r="CV611" s="20"/>
      <c r="DA611" s="18">
        <f t="shared" si="103"/>
        <v>0</v>
      </c>
      <c r="DB611" s="19">
        <f t="shared" si="104"/>
        <v>0</v>
      </c>
      <c r="DC611" s="19">
        <f t="shared" si="105"/>
        <v>0</v>
      </c>
      <c r="DD611" s="19">
        <f t="shared" si="106"/>
        <v>0</v>
      </c>
      <c r="DE611" s="19">
        <f t="shared" si="107"/>
        <v>0</v>
      </c>
      <c r="DF611" s="19">
        <f t="shared" si="108"/>
        <v>0</v>
      </c>
      <c r="DG611" s="19">
        <f t="shared" si="109"/>
        <v>0</v>
      </c>
      <c r="DH611" s="20">
        <f t="shared" si="110"/>
        <v>0</v>
      </c>
      <c r="DI611" s="20">
        <f t="shared" si="111"/>
        <v>0</v>
      </c>
    </row>
    <row r="612" spans="80:113" x14ac:dyDescent="0.3">
      <c r="CB612" s="18"/>
      <c r="CC612" s="19"/>
      <c r="CD612" s="19"/>
      <c r="CE612" s="19"/>
      <c r="CF612" s="19"/>
      <c r="CG612" s="19"/>
      <c r="CH612" s="19"/>
      <c r="CI612" s="18"/>
      <c r="CJ612" s="18"/>
      <c r="CN612" s="18"/>
      <c r="CO612" s="19"/>
      <c r="CP612" s="19"/>
      <c r="CQ612" s="19"/>
      <c r="CR612" s="19"/>
      <c r="CS612" s="19"/>
      <c r="CT612" s="19"/>
      <c r="CU612" s="20"/>
      <c r="CV612" s="20"/>
      <c r="DA612" s="18">
        <f t="shared" si="103"/>
        <v>0</v>
      </c>
      <c r="DB612" s="19">
        <f t="shared" si="104"/>
        <v>0</v>
      </c>
      <c r="DC612" s="19">
        <f t="shared" si="105"/>
        <v>0</v>
      </c>
      <c r="DD612" s="19">
        <f t="shared" si="106"/>
        <v>0</v>
      </c>
      <c r="DE612" s="19">
        <f t="shared" si="107"/>
        <v>0</v>
      </c>
      <c r="DF612" s="19">
        <f t="shared" si="108"/>
        <v>0</v>
      </c>
      <c r="DG612" s="19">
        <f t="shared" si="109"/>
        <v>0</v>
      </c>
      <c r="DH612" s="20">
        <f t="shared" si="110"/>
        <v>0</v>
      </c>
      <c r="DI612" s="20">
        <f t="shared" si="111"/>
        <v>0</v>
      </c>
    </row>
    <row r="613" spans="80:113" x14ac:dyDescent="0.3">
      <c r="CB613" s="18"/>
      <c r="CC613" s="19"/>
      <c r="CD613" s="19"/>
      <c r="CE613" s="19"/>
      <c r="CF613" s="19"/>
      <c r="CG613" s="19"/>
      <c r="CH613" s="19"/>
      <c r="CI613" s="18"/>
      <c r="CJ613" s="18"/>
      <c r="CN613" s="18"/>
      <c r="CO613" s="19"/>
      <c r="CP613" s="19"/>
      <c r="CQ613" s="19"/>
      <c r="CR613" s="19"/>
      <c r="CS613" s="19"/>
      <c r="CT613" s="19"/>
      <c r="CU613" s="20"/>
      <c r="CV613" s="20"/>
      <c r="DA613" s="18">
        <f t="shared" si="103"/>
        <v>0</v>
      </c>
      <c r="DB613" s="19">
        <f t="shared" si="104"/>
        <v>0</v>
      </c>
      <c r="DC613" s="19">
        <f t="shared" si="105"/>
        <v>0</v>
      </c>
      <c r="DD613" s="19">
        <f t="shared" si="106"/>
        <v>0</v>
      </c>
      <c r="DE613" s="19">
        <f t="shared" si="107"/>
        <v>0</v>
      </c>
      <c r="DF613" s="19">
        <f t="shared" si="108"/>
        <v>0</v>
      </c>
      <c r="DG613" s="19">
        <f t="shared" si="109"/>
        <v>0</v>
      </c>
      <c r="DH613" s="20">
        <f t="shared" si="110"/>
        <v>0</v>
      </c>
      <c r="DI613" s="20">
        <f t="shared" si="111"/>
        <v>0</v>
      </c>
    </row>
    <row r="614" spans="80:113" x14ac:dyDescent="0.3">
      <c r="CB614" s="18"/>
      <c r="CC614" s="19"/>
      <c r="CD614" s="19"/>
      <c r="CE614" s="19"/>
      <c r="CF614" s="19"/>
      <c r="CG614" s="19"/>
      <c r="CH614" s="19"/>
      <c r="CI614" s="18"/>
      <c r="CJ614" s="18"/>
      <c r="CN614" s="18"/>
      <c r="CO614" s="19"/>
      <c r="CP614" s="19"/>
      <c r="CQ614" s="19"/>
      <c r="CR614" s="19"/>
      <c r="CS614" s="19"/>
      <c r="CT614" s="19"/>
      <c r="CU614" s="20"/>
      <c r="CV614" s="20"/>
      <c r="DA614" s="18">
        <f t="shared" si="103"/>
        <v>0</v>
      </c>
      <c r="DB614" s="19">
        <f t="shared" si="104"/>
        <v>0</v>
      </c>
      <c r="DC614" s="19">
        <f t="shared" si="105"/>
        <v>0</v>
      </c>
      <c r="DD614" s="19">
        <f t="shared" si="106"/>
        <v>0</v>
      </c>
      <c r="DE614" s="19">
        <f t="shared" si="107"/>
        <v>0</v>
      </c>
      <c r="DF614" s="19">
        <f t="shared" si="108"/>
        <v>0</v>
      </c>
      <c r="DG614" s="19">
        <f t="shared" si="109"/>
        <v>0</v>
      </c>
      <c r="DH614" s="20">
        <f t="shared" si="110"/>
        <v>0</v>
      </c>
      <c r="DI614" s="20">
        <f t="shared" si="111"/>
        <v>0</v>
      </c>
    </row>
    <row r="615" spans="80:113" x14ac:dyDescent="0.3">
      <c r="CB615" s="18"/>
      <c r="CC615" s="19"/>
      <c r="CD615" s="19"/>
      <c r="CE615" s="19"/>
      <c r="CF615" s="19"/>
      <c r="CG615" s="19"/>
      <c r="CH615" s="19"/>
      <c r="CI615" s="18"/>
      <c r="CJ615" s="18"/>
      <c r="CN615" s="18"/>
      <c r="CO615" s="19"/>
      <c r="CP615" s="19"/>
      <c r="CQ615" s="19"/>
      <c r="CR615" s="19"/>
      <c r="CS615" s="19"/>
      <c r="CT615" s="19"/>
      <c r="CU615" s="20"/>
      <c r="CV615" s="20"/>
      <c r="DA615" s="18">
        <f t="shared" si="103"/>
        <v>0</v>
      </c>
      <c r="DB615" s="19">
        <f t="shared" si="104"/>
        <v>0</v>
      </c>
      <c r="DC615" s="19">
        <f t="shared" si="105"/>
        <v>0</v>
      </c>
      <c r="DD615" s="19">
        <f t="shared" si="106"/>
        <v>0</v>
      </c>
      <c r="DE615" s="19">
        <f t="shared" si="107"/>
        <v>0</v>
      </c>
      <c r="DF615" s="19">
        <f t="shared" si="108"/>
        <v>0</v>
      </c>
      <c r="DG615" s="19">
        <f t="shared" si="109"/>
        <v>0</v>
      </c>
      <c r="DH615" s="20">
        <f t="shared" si="110"/>
        <v>0</v>
      </c>
      <c r="DI615" s="20">
        <f t="shared" si="111"/>
        <v>0</v>
      </c>
    </row>
    <row r="616" spans="80:113" x14ac:dyDescent="0.3">
      <c r="CB616" s="18"/>
      <c r="CC616" s="19"/>
      <c r="CD616" s="19"/>
      <c r="CE616" s="19"/>
      <c r="CF616" s="19"/>
      <c r="CG616" s="19"/>
      <c r="CH616" s="19"/>
      <c r="CI616" s="18"/>
      <c r="CJ616" s="18"/>
      <c r="CN616" s="18"/>
      <c r="CO616" s="19"/>
      <c r="CP616" s="19"/>
      <c r="CQ616" s="19"/>
      <c r="CR616" s="19"/>
      <c r="CS616" s="19"/>
      <c r="CT616" s="19"/>
      <c r="CU616" s="20"/>
      <c r="CV616" s="20"/>
      <c r="DA616" s="18">
        <f t="shared" si="103"/>
        <v>0</v>
      </c>
      <c r="DB616" s="19">
        <f t="shared" si="104"/>
        <v>0</v>
      </c>
      <c r="DC616" s="19">
        <f t="shared" si="105"/>
        <v>0</v>
      </c>
      <c r="DD616" s="19">
        <f t="shared" si="106"/>
        <v>0</v>
      </c>
      <c r="DE616" s="19">
        <f t="shared" si="107"/>
        <v>0</v>
      </c>
      <c r="DF616" s="19">
        <f t="shared" si="108"/>
        <v>0</v>
      </c>
      <c r="DG616" s="19">
        <f t="shared" si="109"/>
        <v>0</v>
      </c>
      <c r="DH616" s="20">
        <f t="shared" si="110"/>
        <v>0</v>
      </c>
      <c r="DI616" s="20">
        <f t="shared" si="111"/>
        <v>0</v>
      </c>
    </row>
    <row r="617" spans="80:113" x14ac:dyDescent="0.3">
      <c r="CB617" s="18"/>
      <c r="CC617" s="19"/>
      <c r="CD617" s="19"/>
      <c r="CE617" s="19"/>
      <c r="CF617" s="19"/>
      <c r="CG617" s="19"/>
      <c r="CH617" s="19"/>
      <c r="CI617" s="18"/>
      <c r="CJ617" s="18"/>
      <c r="CN617" s="18"/>
      <c r="CO617" s="19"/>
      <c r="CP617" s="19"/>
      <c r="CQ617" s="19"/>
      <c r="CR617" s="19"/>
      <c r="CS617" s="19"/>
      <c r="CT617" s="19"/>
      <c r="CU617" s="20"/>
      <c r="CV617" s="20"/>
      <c r="DA617" s="18">
        <f t="shared" si="103"/>
        <v>0</v>
      </c>
      <c r="DB617" s="19">
        <f t="shared" si="104"/>
        <v>0</v>
      </c>
      <c r="DC617" s="19">
        <f t="shared" si="105"/>
        <v>0</v>
      </c>
      <c r="DD617" s="19">
        <f t="shared" si="106"/>
        <v>0</v>
      </c>
      <c r="DE617" s="19">
        <f t="shared" si="107"/>
        <v>0</v>
      </c>
      <c r="DF617" s="19">
        <f t="shared" si="108"/>
        <v>0</v>
      </c>
      <c r="DG617" s="19">
        <f t="shared" si="109"/>
        <v>0</v>
      </c>
      <c r="DH617" s="20">
        <f t="shared" si="110"/>
        <v>0</v>
      </c>
      <c r="DI617" s="20">
        <f t="shared" si="111"/>
        <v>0</v>
      </c>
    </row>
    <row r="618" spans="80:113" x14ac:dyDescent="0.3">
      <c r="CB618" s="18"/>
      <c r="CC618" s="19"/>
      <c r="CD618" s="19"/>
      <c r="CE618" s="19"/>
      <c r="CF618" s="19"/>
      <c r="CG618" s="19"/>
      <c r="CH618" s="19"/>
      <c r="CI618" s="18"/>
      <c r="CJ618" s="18"/>
      <c r="CN618" s="18"/>
      <c r="CO618" s="19"/>
      <c r="CP618" s="19"/>
      <c r="CQ618" s="19"/>
      <c r="CR618" s="19"/>
      <c r="CS618" s="19"/>
      <c r="CT618" s="19"/>
      <c r="CU618" s="20"/>
      <c r="CV618" s="20"/>
      <c r="DA618" s="18">
        <f t="shared" si="103"/>
        <v>0</v>
      </c>
      <c r="DB618" s="19">
        <f t="shared" si="104"/>
        <v>0</v>
      </c>
      <c r="DC618" s="19">
        <f t="shared" si="105"/>
        <v>0</v>
      </c>
      <c r="DD618" s="19">
        <f t="shared" si="106"/>
        <v>0</v>
      </c>
      <c r="DE618" s="19">
        <f t="shared" si="107"/>
        <v>0</v>
      </c>
      <c r="DF618" s="19">
        <f t="shared" si="108"/>
        <v>0</v>
      </c>
      <c r="DG618" s="19">
        <f t="shared" si="109"/>
        <v>0</v>
      </c>
      <c r="DH618" s="20">
        <f t="shared" si="110"/>
        <v>0</v>
      </c>
      <c r="DI618" s="20">
        <f t="shared" si="111"/>
        <v>0</v>
      </c>
    </row>
    <row r="619" spans="80:113" x14ac:dyDescent="0.3">
      <c r="CB619" s="18"/>
      <c r="CC619" s="19"/>
      <c r="CD619" s="19"/>
      <c r="CE619" s="19"/>
      <c r="CF619" s="19"/>
      <c r="CG619" s="19"/>
      <c r="CH619" s="19"/>
      <c r="CI619" s="18"/>
      <c r="CJ619" s="18"/>
      <c r="CN619" s="18"/>
      <c r="CO619" s="19"/>
      <c r="CP619" s="19"/>
      <c r="CQ619" s="19"/>
      <c r="CR619" s="19"/>
      <c r="CS619" s="19"/>
      <c r="CT619" s="19"/>
      <c r="CU619" s="20"/>
      <c r="CV619" s="20"/>
      <c r="DA619" s="18">
        <f t="shared" si="103"/>
        <v>0</v>
      </c>
      <c r="DB619" s="19">
        <f t="shared" si="104"/>
        <v>0</v>
      </c>
      <c r="DC619" s="19">
        <f t="shared" si="105"/>
        <v>0</v>
      </c>
      <c r="DD619" s="19">
        <f t="shared" si="106"/>
        <v>0</v>
      </c>
      <c r="DE619" s="19">
        <f t="shared" si="107"/>
        <v>0</v>
      </c>
      <c r="DF619" s="19">
        <f t="shared" si="108"/>
        <v>0</v>
      </c>
      <c r="DG619" s="19">
        <f t="shared" si="109"/>
        <v>0</v>
      </c>
      <c r="DH619" s="20">
        <f t="shared" si="110"/>
        <v>0</v>
      </c>
      <c r="DI619" s="20">
        <f t="shared" si="111"/>
        <v>0</v>
      </c>
    </row>
    <row r="620" spans="80:113" x14ac:dyDescent="0.3">
      <c r="CB620" s="18"/>
      <c r="CC620" s="19"/>
      <c r="CD620" s="19"/>
      <c r="CE620" s="19"/>
      <c r="CF620" s="19"/>
      <c r="CG620" s="19"/>
      <c r="CH620" s="19"/>
      <c r="CI620" s="18"/>
      <c r="CJ620" s="18"/>
      <c r="CN620" s="18"/>
      <c r="CO620" s="19"/>
      <c r="CP620" s="19"/>
      <c r="CQ620" s="19"/>
      <c r="CR620" s="19"/>
      <c r="CS620" s="19"/>
      <c r="CT620" s="19"/>
      <c r="CU620" s="20"/>
      <c r="CV620" s="20"/>
      <c r="DA620" s="18">
        <f t="shared" si="103"/>
        <v>0</v>
      </c>
      <c r="DB620" s="19">
        <f t="shared" si="104"/>
        <v>0</v>
      </c>
      <c r="DC620" s="19">
        <f t="shared" si="105"/>
        <v>0</v>
      </c>
      <c r="DD620" s="19">
        <f t="shared" si="106"/>
        <v>0</v>
      </c>
      <c r="DE620" s="19">
        <f t="shared" si="107"/>
        <v>0</v>
      </c>
      <c r="DF620" s="19">
        <f t="shared" si="108"/>
        <v>0</v>
      </c>
      <c r="DG620" s="19">
        <f t="shared" si="109"/>
        <v>0</v>
      </c>
      <c r="DH620" s="20">
        <f t="shared" si="110"/>
        <v>0</v>
      </c>
      <c r="DI620" s="20">
        <f t="shared" si="111"/>
        <v>0</v>
      </c>
    </row>
    <row r="621" spans="80:113" x14ac:dyDescent="0.3">
      <c r="CB621" s="18"/>
      <c r="CC621" s="19"/>
      <c r="CD621" s="19"/>
      <c r="CE621" s="19"/>
      <c r="CF621" s="19"/>
      <c r="CG621" s="19"/>
      <c r="CH621" s="19"/>
      <c r="CI621" s="18"/>
      <c r="CJ621" s="18"/>
      <c r="CN621" s="18"/>
      <c r="CO621" s="19"/>
      <c r="CP621" s="19"/>
      <c r="CQ621" s="19"/>
      <c r="CR621" s="19"/>
      <c r="CS621" s="19"/>
      <c r="CT621" s="19"/>
      <c r="CU621" s="20"/>
      <c r="CV621" s="20"/>
      <c r="DA621" s="18">
        <f t="shared" si="103"/>
        <v>0</v>
      </c>
      <c r="DB621" s="19">
        <f t="shared" si="104"/>
        <v>0</v>
      </c>
      <c r="DC621" s="19">
        <f t="shared" si="105"/>
        <v>0</v>
      </c>
      <c r="DD621" s="19">
        <f t="shared" si="106"/>
        <v>0</v>
      </c>
      <c r="DE621" s="19">
        <f t="shared" si="107"/>
        <v>0</v>
      </c>
      <c r="DF621" s="19">
        <f t="shared" si="108"/>
        <v>0</v>
      </c>
      <c r="DG621" s="19">
        <f t="shared" si="109"/>
        <v>0</v>
      </c>
      <c r="DH621" s="20">
        <f t="shared" si="110"/>
        <v>0</v>
      </c>
      <c r="DI621" s="20">
        <f t="shared" si="111"/>
        <v>0</v>
      </c>
    </row>
    <row r="622" spans="80:113" x14ac:dyDescent="0.3">
      <c r="CB622" s="18"/>
      <c r="CC622" s="19"/>
      <c r="CD622" s="19"/>
      <c r="CE622" s="19"/>
      <c r="CF622" s="19"/>
      <c r="CG622" s="19"/>
      <c r="CH622" s="19"/>
      <c r="CI622" s="18"/>
      <c r="CJ622" s="18"/>
      <c r="CN622" s="18"/>
      <c r="CO622" s="19"/>
      <c r="CP622" s="19"/>
      <c r="CQ622" s="19"/>
      <c r="CR622" s="19"/>
      <c r="CS622" s="19"/>
      <c r="CT622" s="19"/>
      <c r="CU622" s="20"/>
      <c r="CV622" s="20"/>
      <c r="DA622" s="18">
        <f t="shared" si="103"/>
        <v>0</v>
      </c>
      <c r="DB622" s="19">
        <f t="shared" si="104"/>
        <v>0</v>
      </c>
      <c r="DC622" s="19">
        <f t="shared" si="105"/>
        <v>0</v>
      </c>
      <c r="DD622" s="19">
        <f t="shared" si="106"/>
        <v>0</v>
      </c>
      <c r="DE622" s="19">
        <f t="shared" si="107"/>
        <v>0</v>
      </c>
      <c r="DF622" s="19">
        <f t="shared" si="108"/>
        <v>0</v>
      </c>
      <c r="DG622" s="19">
        <f t="shared" si="109"/>
        <v>0</v>
      </c>
      <c r="DH622" s="20">
        <f t="shared" si="110"/>
        <v>0</v>
      </c>
      <c r="DI622" s="20">
        <f t="shared" si="111"/>
        <v>0</v>
      </c>
    </row>
    <row r="623" spans="80:113" x14ac:dyDescent="0.3">
      <c r="CB623" s="18"/>
      <c r="CC623" s="19"/>
      <c r="CD623" s="19"/>
      <c r="CE623" s="19"/>
      <c r="CF623" s="19"/>
      <c r="CG623" s="19"/>
      <c r="CH623" s="19"/>
      <c r="CI623" s="18"/>
      <c r="CJ623" s="18"/>
      <c r="CN623" s="18"/>
      <c r="CO623" s="19"/>
      <c r="CP623" s="19"/>
      <c r="CQ623" s="19"/>
      <c r="CR623" s="19"/>
      <c r="CS623" s="19"/>
      <c r="CT623" s="19"/>
      <c r="CU623" s="20"/>
      <c r="CV623" s="20"/>
      <c r="DA623" s="18">
        <f t="shared" si="103"/>
        <v>0</v>
      </c>
      <c r="DB623" s="19">
        <f t="shared" si="104"/>
        <v>0</v>
      </c>
      <c r="DC623" s="19">
        <f t="shared" si="105"/>
        <v>0</v>
      </c>
      <c r="DD623" s="19">
        <f t="shared" si="106"/>
        <v>0</v>
      </c>
      <c r="DE623" s="19">
        <f t="shared" si="107"/>
        <v>0</v>
      </c>
      <c r="DF623" s="19">
        <f t="shared" si="108"/>
        <v>0</v>
      </c>
      <c r="DG623" s="19">
        <f t="shared" si="109"/>
        <v>0</v>
      </c>
      <c r="DH623" s="20">
        <f t="shared" si="110"/>
        <v>0</v>
      </c>
      <c r="DI623" s="20">
        <f t="shared" si="111"/>
        <v>0</v>
      </c>
    </row>
    <row r="624" spans="80:113" x14ac:dyDescent="0.3">
      <c r="CB624" s="18"/>
      <c r="CC624" s="19"/>
      <c r="CD624" s="19"/>
      <c r="CE624" s="19"/>
      <c r="CF624" s="19"/>
      <c r="CG624" s="19"/>
      <c r="CH624" s="19"/>
      <c r="CI624" s="18"/>
      <c r="CJ624" s="18"/>
      <c r="CN624" s="18"/>
      <c r="CO624" s="19"/>
      <c r="CP624" s="19"/>
      <c r="CQ624" s="19"/>
      <c r="CR624" s="19"/>
      <c r="CS624" s="19"/>
      <c r="CT624" s="19"/>
      <c r="CU624" s="20"/>
      <c r="CV624" s="20"/>
      <c r="DA624" s="18">
        <f t="shared" si="103"/>
        <v>0</v>
      </c>
      <c r="DB624" s="19">
        <f t="shared" si="104"/>
        <v>0</v>
      </c>
      <c r="DC624" s="19">
        <f t="shared" si="105"/>
        <v>0</v>
      </c>
      <c r="DD624" s="19">
        <f t="shared" si="106"/>
        <v>0</v>
      </c>
      <c r="DE624" s="19">
        <f t="shared" si="107"/>
        <v>0</v>
      </c>
      <c r="DF624" s="19">
        <f t="shared" si="108"/>
        <v>0</v>
      </c>
      <c r="DG624" s="19">
        <f t="shared" si="109"/>
        <v>0</v>
      </c>
      <c r="DH624" s="20">
        <f t="shared" si="110"/>
        <v>0</v>
      </c>
      <c r="DI624" s="20">
        <f t="shared" si="111"/>
        <v>0</v>
      </c>
    </row>
    <row r="625" spans="80:113" x14ac:dyDescent="0.3">
      <c r="CB625" s="18"/>
      <c r="CC625" s="19"/>
      <c r="CD625" s="19"/>
      <c r="CE625" s="19"/>
      <c r="CF625" s="19"/>
      <c r="CG625" s="19"/>
      <c r="CH625" s="19"/>
      <c r="CI625" s="18"/>
      <c r="CJ625" s="18"/>
      <c r="CN625" s="18"/>
      <c r="CO625" s="19"/>
      <c r="CP625" s="19"/>
      <c r="CQ625" s="19"/>
      <c r="CR625" s="19"/>
      <c r="CS625" s="19"/>
      <c r="CT625" s="19"/>
      <c r="CU625" s="20"/>
      <c r="CV625" s="20"/>
      <c r="DA625" s="18">
        <f t="shared" si="103"/>
        <v>0</v>
      </c>
      <c r="DB625" s="19">
        <f t="shared" si="104"/>
        <v>0</v>
      </c>
      <c r="DC625" s="19">
        <f t="shared" si="105"/>
        <v>0</v>
      </c>
      <c r="DD625" s="19">
        <f t="shared" si="106"/>
        <v>0</v>
      </c>
      <c r="DE625" s="19">
        <f t="shared" si="107"/>
        <v>0</v>
      </c>
      <c r="DF625" s="19">
        <f t="shared" si="108"/>
        <v>0</v>
      </c>
      <c r="DG625" s="19">
        <f t="shared" si="109"/>
        <v>0</v>
      </c>
      <c r="DH625" s="20">
        <f t="shared" si="110"/>
        <v>0</v>
      </c>
      <c r="DI625" s="20">
        <f t="shared" si="111"/>
        <v>0</v>
      </c>
    </row>
    <row r="626" spans="80:113" x14ac:dyDescent="0.3">
      <c r="CB626" s="18"/>
      <c r="CC626" s="19"/>
      <c r="CD626" s="19"/>
      <c r="CE626" s="19"/>
      <c r="CF626" s="19"/>
      <c r="CG626" s="19"/>
      <c r="CH626" s="19"/>
      <c r="CI626" s="18"/>
      <c r="CJ626" s="18"/>
      <c r="CN626" s="18"/>
      <c r="CO626" s="19"/>
      <c r="CP626" s="19"/>
      <c r="CQ626" s="19"/>
      <c r="CR626" s="19"/>
      <c r="CS626" s="19"/>
      <c r="CT626" s="19"/>
      <c r="CU626" s="20"/>
      <c r="CV626" s="20"/>
      <c r="DA626" s="18">
        <f t="shared" si="103"/>
        <v>0</v>
      </c>
      <c r="DB626" s="19">
        <f t="shared" si="104"/>
        <v>0</v>
      </c>
      <c r="DC626" s="19">
        <f t="shared" si="105"/>
        <v>0</v>
      </c>
      <c r="DD626" s="19">
        <f t="shared" si="106"/>
        <v>0</v>
      </c>
      <c r="DE626" s="19">
        <f t="shared" si="107"/>
        <v>0</v>
      </c>
      <c r="DF626" s="19">
        <f t="shared" si="108"/>
        <v>0</v>
      </c>
      <c r="DG626" s="19">
        <f t="shared" si="109"/>
        <v>0</v>
      </c>
      <c r="DH626" s="20">
        <f t="shared" si="110"/>
        <v>0</v>
      </c>
      <c r="DI626" s="20">
        <f t="shared" si="111"/>
        <v>0</v>
      </c>
    </row>
    <row r="627" spans="80:113" x14ac:dyDescent="0.3">
      <c r="CB627" s="18"/>
      <c r="CC627" s="19"/>
      <c r="CD627" s="19"/>
      <c r="CE627" s="19"/>
      <c r="CF627" s="19"/>
      <c r="CG627" s="19"/>
      <c r="CH627" s="19"/>
      <c r="CI627" s="18"/>
      <c r="CJ627" s="18"/>
      <c r="CN627" s="18"/>
      <c r="CO627" s="19"/>
      <c r="CP627" s="19"/>
      <c r="CQ627" s="19"/>
      <c r="CR627" s="19"/>
      <c r="CS627" s="19"/>
      <c r="CT627" s="19"/>
      <c r="CU627" s="20"/>
      <c r="CV627" s="20"/>
      <c r="DA627" s="18">
        <f t="shared" si="103"/>
        <v>0</v>
      </c>
      <c r="DB627" s="19">
        <f t="shared" si="104"/>
        <v>0</v>
      </c>
      <c r="DC627" s="19">
        <f t="shared" si="105"/>
        <v>0</v>
      </c>
      <c r="DD627" s="19">
        <f t="shared" si="106"/>
        <v>0</v>
      </c>
      <c r="DE627" s="19">
        <f t="shared" si="107"/>
        <v>0</v>
      </c>
      <c r="DF627" s="19">
        <f t="shared" si="108"/>
        <v>0</v>
      </c>
      <c r="DG627" s="19">
        <f t="shared" si="109"/>
        <v>0</v>
      </c>
      <c r="DH627" s="20">
        <f t="shared" si="110"/>
        <v>0</v>
      </c>
      <c r="DI627" s="20">
        <f t="shared" si="111"/>
        <v>0</v>
      </c>
    </row>
    <row r="628" spans="80:113" x14ac:dyDescent="0.3">
      <c r="CB628" s="18"/>
      <c r="CC628" s="19"/>
      <c r="CD628" s="19"/>
      <c r="CE628" s="19"/>
      <c r="CF628" s="19"/>
      <c r="CG628" s="19"/>
      <c r="CH628" s="19"/>
      <c r="CI628" s="18"/>
      <c r="CJ628" s="18"/>
      <c r="CN628" s="18"/>
      <c r="CO628" s="19"/>
      <c r="CP628" s="19"/>
      <c r="CQ628" s="19"/>
      <c r="CR628" s="19"/>
      <c r="CS628" s="19"/>
      <c r="CT628" s="19"/>
      <c r="CU628" s="20"/>
      <c r="CV628" s="20"/>
      <c r="DA628" s="18">
        <f t="shared" si="103"/>
        <v>0</v>
      </c>
      <c r="DB628" s="19">
        <f t="shared" si="104"/>
        <v>0</v>
      </c>
      <c r="DC628" s="19">
        <f t="shared" si="105"/>
        <v>0</v>
      </c>
      <c r="DD628" s="19">
        <f t="shared" si="106"/>
        <v>0</v>
      </c>
      <c r="DE628" s="19">
        <f t="shared" si="107"/>
        <v>0</v>
      </c>
      <c r="DF628" s="19">
        <f t="shared" si="108"/>
        <v>0</v>
      </c>
      <c r="DG628" s="19">
        <f t="shared" si="109"/>
        <v>0</v>
      </c>
      <c r="DH628" s="20">
        <f t="shared" si="110"/>
        <v>0</v>
      </c>
      <c r="DI628" s="20">
        <f t="shared" si="111"/>
        <v>0</v>
      </c>
    </row>
    <row r="629" spans="80:113" x14ac:dyDescent="0.3">
      <c r="CB629" s="18"/>
      <c r="CC629" s="19"/>
      <c r="CD629" s="19"/>
      <c r="CE629" s="19"/>
      <c r="CF629" s="19"/>
      <c r="CG629" s="19"/>
      <c r="CH629" s="19"/>
      <c r="CI629" s="18"/>
      <c r="CJ629" s="18"/>
      <c r="CN629" s="18"/>
      <c r="CO629" s="19"/>
      <c r="CP629" s="19"/>
      <c r="CQ629" s="19"/>
      <c r="CR629" s="19"/>
      <c r="CS629" s="19"/>
      <c r="CT629" s="19"/>
      <c r="CU629" s="20"/>
      <c r="CV629" s="20"/>
      <c r="DA629" s="18">
        <f t="shared" si="103"/>
        <v>0</v>
      </c>
      <c r="DB629" s="19">
        <f t="shared" si="104"/>
        <v>0</v>
      </c>
      <c r="DC629" s="19">
        <f t="shared" si="105"/>
        <v>0</v>
      </c>
      <c r="DD629" s="19">
        <f t="shared" si="106"/>
        <v>0</v>
      </c>
      <c r="DE629" s="19">
        <f t="shared" si="107"/>
        <v>0</v>
      </c>
      <c r="DF629" s="19">
        <f t="shared" si="108"/>
        <v>0</v>
      </c>
      <c r="DG629" s="19">
        <f t="shared" si="109"/>
        <v>0</v>
      </c>
      <c r="DH629" s="20">
        <f t="shared" si="110"/>
        <v>0</v>
      </c>
      <c r="DI629" s="20">
        <f t="shared" si="111"/>
        <v>0</v>
      </c>
    </row>
    <row r="630" spans="80:113" x14ac:dyDescent="0.3">
      <c r="CB630" s="18"/>
      <c r="CC630" s="19"/>
      <c r="CD630" s="19"/>
      <c r="CE630" s="19"/>
      <c r="CF630" s="19"/>
      <c r="CG630" s="19"/>
      <c r="CH630" s="19"/>
      <c r="CI630" s="18"/>
      <c r="CJ630" s="18"/>
      <c r="CN630" s="18"/>
      <c r="CO630" s="19"/>
      <c r="CP630" s="19"/>
      <c r="CQ630" s="19"/>
      <c r="CR630" s="19"/>
      <c r="CS630" s="19"/>
      <c r="CT630" s="19"/>
      <c r="CU630" s="20"/>
      <c r="CV630" s="20"/>
      <c r="DA630" s="18">
        <f t="shared" si="103"/>
        <v>0</v>
      </c>
      <c r="DB630" s="19">
        <f t="shared" si="104"/>
        <v>0</v>
      </c>
      <c r="DC630" s="19">
        <f t="shared" si="105"/>
        <v>0</v>
      </c>
      <c r="DD630" s="19">
        <f t="shared" si="106"/>
        <v>0</v>
      </c>
      <c r="DE630" s="19">
        <f t="shared" si="107"/>
        <v>0</v>
      </c>
      <c r="DF630" s="19">
        <f t="shared" si="108"/>
        <v>0</v>
      </c>
      <c r="DG630" s="19">
        <f t="shared" si="109"/>
        <v>0</v>
      </c>
      <c r="DH630" s="20">
        <f t="shared" si="110"/>
        <v>0</v>
      </c>
      <c r="DI630" s="20">
        <f t="shared" si="111"/>
        <v>0</v>
      </c>
    </row>
    <row r="631" spans="80:113" x14ac:dyDescent="0.3">
      <c r="CB631" s="18"/>
      <c r="CC631" s="19"/>
      <c r="CD631" s="19"/>
      <c r="CE631" s="19"/>
      <c r="CF631" s="19"/>
      <c r="CG631" s="19"/>
      <c r="CH631" s="19"/>
      <c r="CI631" s="18"/>
      <c r="CJ631" s="18"/>
      <c r="CN631" s="18"/>
      <c r="CO631" s="19"/>
      <c r="CP631" s="19"/>
      <c r="CQ631" s="19"/>
      <c r="CR631" s="19"/>
      <c r="CS631" s="19"/>
      <c r="CT631" s="19"/>
      <c r="CU631" s="20"/>
      <c r="CV631" s="20"/>
      <c r="DA631" s="18">
        <f t="shared" si="103"/>
        <v>0</v>
      </c>
      <c r="DB631" s="19">
        <f t="shared" si="104"/>
        <v>0</v>
      </c>
      <c r="DC631" s="19">
        <f t="shared" si="105"/>
        <v>0</v>
      </c>
      <c r="DD631" s="19">
        <f t="shared" si="106"/>
        <v>0</v>
      </c>
      <c r="DE631" s="19">
        <f t="shared" si="107"/>
        <v>0</v>
      </c>
      <c r="DF631" s="19">
        <f t="shared" si="108"/>
        <v>0</v>
      </c>
      <c r="DG631" s="19">
        <f t="shared" si="109"/>
        <v>0</v>
      </c>
      <c r="DH631" s="20">
        <f t="shared" si="110"/>
        <v>0</v>
      </c>
      <c r="DI631" s="20">
        <f t="shared" si="111"/>
        <v>0</v>
      </c>
    </row>
    <row r="632" spans="80:113" x14ac:dyDescent="0.3">
      <c r="CB632" s="18"/>
      <c r="CC632" s="19"/>
      <c r="CD632" s="19"/>
      <c r="CE632" s="19"/>
      <c r="CF632" s="19"/>
      <c r="CG632" s="19"/>
      <c r="CH632" s="19"/>
      <c r="CI632" s="18"/>
      <c r="CJ632" s="18"/>
      <c r="CN632" s="18"/>
      <c r="CO632" s="19"/>
      <c r="CP632" s="19"/>
      <c r="CQ632" s="19"/>
      <c r="CR632" s="19"/>
      <c r="CS632" s="19"/>
      <c r="CT632" s="19"/>
      <c r="CU632" s="20"/>
      <c r="CV632" s="20"/>
      <c r="DA632" s="18">
        <f t="shared" si="103"/>
        <v>0</v>
      </c>
      <c r="DB632" s="19">
        <f t="shared" si="104"/>
        <v>0</v>
      </c>
      <c r="DC632" s="19">
        <f t="shared" si="105"/>
        <v>0</v>
      </c>
      <c r="DD632" s="19">
        <f t="shared" si="106"/>
        <v>0</v>
      </c>
      <c r="DE632" s="19">
        <f t="shared" si="107"/>
        <v>0</v>
      </c>
      <c r="DF632" s="19">
        <f t="shared" si="108"/>
        <v>0</v>
      </c>
      <c r="DG632" s="19">
        <f t="shared" si="109"/>
        <v>0</v>
      </c>
      <c r="DH632" s="20">
        <f t="shared" si="110"/>
        <v>0</v>
      </c>
      <c r="DI632" s="20">
        <f t="shared" si="111"/>
        <v>0</v>
      </c>
    </row>
    <row r="633" spans="80:113" x14ac:dyDescent="0.3">
      <c r="CB633" s="18"/>
      <c r="CC633" s="19"/>
      <c r="CD633" s="19"/>
      <c r="CE633" s="19"/>
      <c r="CF633" s="19"/>
      <c r="CG633" s="19"/>
      <c r="CH633" s="19"/>
      <c r="CI633" s="18"/>
      <c r="CJ633" s="18"/>
      <c r="CN633" s="18"/>
      <c r="CO633" s="19"/>
      <c r="CP633" s="19"/>
      <c r="CQ633" s="19"/>
      <c r="CR633" s="19"/>
      <c r="CS633" s="19"/>
      <c r="CT633" s="19"/>
      <c r="CU633" s="20"/>
      <c r="CV633" s="20"/>
      <c r="DA633" s="18">
        <f t="shared" si="103"/>
        <v>0</v>
      </c>
      <c r="DB633" s="19">
        <f t="shared" si="104"/>
        <v>0</v>
      </c>
      <c r="DC633" s="19">
        <f t="shared" si="105"/>
        <v>0</v>
      </c>
      <c r="DD633" s="19">
        <f t="shared" si="106"/>
        <v>0</v>
      </c>
      <c r="DE633" s="19">
        <f t="shared" si="107"/>
        <v>0</v>
      </c>
      <c r="DF633" s="19">
        <f t="shared" si="108"/>
        <v>0</v>
      </c>
      <c r="DG633" s="19">
        <f t="shared" si="109"/>
        <v>0</v>
      </c>
      <c r="DH633" s="20">
        <f t="shared" si="110"/>
        <v>0</v>
      </c>
      <c r="DI633" s="20">
        <f t="shared" si="111"/>
        <v>0</v>
      </c>
    </row>
    <row r="634" spans="80:113" x14ac:dyDescent="0.3">
      <c r="CB634" s="18"/>
      <c r="CC634" s="19"/>
      <c r="CD634" s="19"/>
      <c r="CE634" s="19"/>
      <c r="CF634" s="19"/>
      <c r="CG634" s="19"/>
      <c r="CH634" s="19"/>
      <c r="CI634" s="18"/>
      <c r="CJ634" s="18"/>
      <c r="CN634" s="18"/>
      <c r="CO634" s="19"/>
      <c r="CP634" s="19"/>
      <c r="CQ634" s="19"/>
      <c r="CR634" s="19"/>
      <c r="CS634" s="19"/>
      <c r="CT634" s="19"/>
      <c r="CU634" s="20"/>
      <c r="CV634" s="20"/>
      <c r="DA634" s="18">
        <f t="shared" si="103"/>
        <v>0</v>
      </c>
      <c r="DB634" s="19">
        <f t="shared" si="104"/>
        <v>0</v>
      </c>
      <c r="DC634" s="19">
        <f t="shared" si="105"/>
        <v>0</v>
      </c>
      <c r="DD634" s="19">
        <f t="shared" si="106"/>
        <v>0</v>
      </c>
      <c r="DE634" s="19">
        <f t="shared" si="107"/>
        <v>0</v>
      </c>
      <c r="DF634" s="19">
        <f t="shared" si="108"/>
        <v>0</v>
      </c>
      <c r="DG634" s="19">
        <f t="shared" si="109"/>
        <v>0</v>
      </c>
      <c r="DH634" s="20">
        <f t="shared" si="110"/>
        <v>0</v>
      </c>
      <c r="DI634" s="20">
        <f t="shared" si="111"/>
        <v>0</v>
      </c>
    </row>
    <row r="635" spans="80:113" x14ac:dyDescent="0.3">
      <c r="CB635" s="18"/>
      <c r="CC635" s="19"/>
      <c r="CD635" s="19"/>
      <c r="CE635" s="19"/>
      <c r="CF635" s="19"/>
      <c r="CG635" s="19"/>
      <c r="CH635" s="19"/>
      <c r="CI635" s="18"/>
      <c r="CJ635" s="18"/>
      <c r="CN635" s="18"/>
      <c r="CO635" s="19"/>
      <c r="CP635" s="19"/>
      <c r="CQ635" s="19"/>
      <c r="CR635" s="19"/>
      <c r="CS635" s="19"/>
      <c r="CT635" s="19"/>
      <c r="CU635" s="20"/>
      <c r="CV635" s="20"/>
      <c r="DA635" s="18">
        <f t="shared" si="103"/>
        <v>0</v>
      </c>
      <c r="DB635" s="19">
        <f t="shared" si="104"/>
        <v>0</v>
      </c>
      <c r="DC635" s="19">
        <f t="shared" si="105"/>
        <v>0</v>
      </c>
      <c r="DD635" s="19">
        <f t="shared" si="106"/>
        <v>0</v>
      </c>
      <c r="DE635" s="19">
        <f t="shared" si="107"/>
        <v>0</v>
      </c>
      <c r="DF635" s="19">
        <f t="shared" si="108"/>
        <v>0</v>
      </c>
      <c r="DG635" s="19">
        <f t="shared" si="109"/>
        <v>0</v>
      </c>
      <c r="DH635" s="20">
        <f t="shared" si="110"/>
        <v>0</v>
      </c>
      <c r="DI635" s="20">
        <f t="shared" si="111"/>
        <v>0</v>
      </c>
    </row>
    <row r="636" spans="80:113" x14ac:dyDescent="0.3">
      <c r="CB636" s="18"/>
      <c r="CC636" s="19"/>
      <c r="CD636" s="19"/>
      <c r="CE636" s="19"/>
      <c r="CF636" s="19"/>
      <c r="CG636" s="19"/>
      <c r="CH636" s="19"/>
      <c r="CI636" s="18"/>
      <c r="CJ636" s="18"/>
      <c r="CN636" s="18"/>
      <c r="CO636" s="19"/>
      <c r="CP636" s="19"/>
      <c r="CQ636" s="19"/>
      <c r="CR636" s="19"/>
      <c r="CS636" s="19"/>
      <c r="CT636" s="19"/>
      <c r="CU636" s="20"/>
      <c r="CV636" s="20"/>
      <c r="DA636" s="18">
        <f t="shared" si="103"/>
        <v>0</v>
      </c>
      <c r="DB636" s="19">
        <f t="shared" si="104"/>
        <v>0</v>
      </c>
      <c r="DC636" s="19">
        <f t="shared" si="105"/>
        <v>0</v>
      </c>
      <c r="DD636" s="19">
        <f t="shared" si="106"/>
        <v>0</v>
      </c>
      <c r="DE636" s="19">
        <f t="shared" si="107"/>
        <v>0</v>
      </c>
      <c r="DF636" s="19">
        <f t="shared" si="108"/>
        <v>0</v>
      </c>
      <c r="DG636" s="19">
        <f t="shared" si="109"/>
        <v>0</v>
      </c>
      <c r="DH636" s="20">
        <f t="shared" si="110"/>
        <v>0</v>
      </c>
      <c r="DI636" s="20">
        <f t="shared" si="111"/>
        <v>0</v>
      </c>
    </row>
    <row r="637" spans="80:113" x14ac:dyDescent="0.3">
      <c r="CB637" s="18"/>
      <c r="CC637" s="19"/>
      <c r="CD637" s="19"/>
      <c r="CE637" s="19"/>
      <c r="CF637" s="19"/>
      <c r="CG637" s="19"/>
      <c r="CH637" s="19"/>
      <c r="CI637" s="18"/>
      <c r="CJ637" s="18"/>
      <c r="CN637" s="18"/>
      <c r="CO637" s="19"/>
      <c r="CP637" s="19"/>
      <c r="CQ637" s="19"/>
      <c r="CR637" s="19"/>
      <c r="CS637" s="19"/>
      <c r="CT637" s="19"/>
      <c r="CU637" s="20"/>
      <c r="CV637" s="20"/>
      <c r="DA637" s="18">
        <f t="shared" si="103"/>
        <v>0</v>
      </c>
      <c r="DB637" s="19">
        <f t="shared" si="104"/>
        <v>0</v>
      </c>
      <c r="DC637" s="19">
        <f t="shared" si="105"/>
        <v>0</v>
      </c>
      <c r="DD637" s="19">
        <f t="shared" si="106"/>
        <v>0</v>
      </c>
      <c r="DE637" s="19">
        <f t="shared" si="107"/>
        <v>0</v>
      </c>
      <c r="DF637" s="19">
        <f t="shared" si="108"/>
        <v>0</v>
      </c>
      <c r="DG637" s="19">
        <f t="shared" si="109"/>
        <v>0</v>
      </c>
      <c r="DH637" s="20">
        <f t="shared" si="110"/>
        <v>0</v>
      </c>
      <c r="DI637" s="20">
        <f t="shared" si="111"/>
        <v>0</v>
      </c>
    </row>
    <row r="638" spans="80:113" x14ac:dyDescent="0.3">
      <c r="CB638" s="18"/>
      <c r="CC638" s="19"/>
      <c r="CD638" s="19"/>
      <c r="CE638" s="19"/>
      <c r="CF638" s="19"/>
      <c r="CG638" s="19"/>
      <c r="CH638" s="19"/>
      <c r="CI638" s="18"/>
      <c r="CJ638" s="18"/>
      <c r="CN638" s="18"/>
      <c r="CO638" s="19"/>
      <c r="CP638" s="19"/>
      <c r="CQ638" s="19"/>
      <c r="CR638" s="19"/>
      <c r="CS638" s="19"/>
      <c r="CT638" s="19"/>
      <c r="CU638" s="20"/>
      <c r="CV638" s="20"/>
      <c r="DA638" s="18">
        <f t="shared" si="103"/>
        <v>0</v>
      </c>
      <c r="DB638" s="19">
        <f t="shared" si="104"/>
        <v>0</v>
      </c>
      <c r="DC638" s="19">
        <f t="shared" si="105"/>
        <v>0</v>
      </c>
      <c r="DD638" s="19">
        <f t="shared" si="106"/>
        <v>0</v>
      </c>
      <c r="DE638" s="19">
        <f t="shared" si="107"/>
        <v>0</v>
      </c>
      <c r="DF638" s="19">
        <f t="shared" si="108"/>
        <v>0</v>
      </c>
      <c r="DG638" s="19">
        <f t="shared" si="109"/>
        <v>0</v>
      </c>
      <c r="DH638" s="20">
        <f t="shared" si="110"/>
        <v>0</v>
      </c>
      <c r="DI638" s="20">
        <f t="shared" si="111"/>
        <v>0</v>
      </c>
    </row>
    <row r="639" spans="80:113" x14ac:dyDescent="0.3">
      <c r="CB639" s="18"/>
      <c r="CC639" s="19"/>
      <c r="CD639" s="19"/>
      <c r="CE639" s="19"/>
      <c r="CF639" s="19"/>
      <c r="CG639" s="19"/>
      <c r="CH639" s="19"/>
      <c r="CI639" s="18"/>
      <c r="CJ639" s="18"/>
      <c r="CN639" s="18"/>
      <c r="CO639" s="19"/>
      <c r="CP639" s="19"/>
      <c r="CQ639" s="19"/>
      <c r="CR639" s="19"/>
      <c r="CS639" s="19"/>
      <c r="CT639" s="19"/>
      <c r="CU639" s="20"/>
      <c r="CV639" s="20"/>
      <c r="DA639" s="18">
        <f t="shared" si="103"/>
        <v>0</v>
      </c>
      <c r="DB639" s="19">
        <f t="shared" si="104"/>
        <v>0</v>
      </c>
      <c r="DC639" s="19">
        <f t="shared" si="105"/>
        <v>0</v>
      </c>
      <c r="DD639" s="19">
        <f t="shared" si="106"/>
        <v>0</v>
      </c>
      <c r="DE639" s="19">
        <f t="shared" si="107"/>
        <v>0</v>
      </c>
      <c r="DF639" s="19">
        <f t="shared" si="108"/>
        <v>0</v>
      </c>
      <c r="DG639" s="19">
        <f t="shared" si="109"/>
        <v>0</v>
      </c>
      <c r="DH639" s="20">
        <f t="shared" si="110"/>
        <v>0</v>
      </c>
      <c r="DI639" s="20">
        <f t="shared" si="111"/>
        <v>0</v>
      </c>
    </row>
    <row r="640" spans="80:113" x14ac:dyDescent="0.3">
      <c r="CB640" s="18"/>
      <c r="CC640" s="19"/>
      <c r="CD640" s="19"/>
      <c r="CE640" s="19"/>
      <c r="CF640" s="19"/>
      <c r="CG640" s="19"/>
      <c r="CH640" s="19"/>
      <c r="CI640" s="18"/>
      <c r="CJ640" s="18"/>
      <c r="CN640" s="18"/>
      <c r="CO640" s="19"/>
      <c r="CP640" s="19"/>
      <c r="CQ640" s="19"/>
      <c r="CR640" s="19"/>
      <c r="CS640" s="19"/>
      <c r="CT640" s="19"/>
      <c r="CU640" s="20"/>
      <c r="CV640" s="20"/>
      <c r="DA640" s="18">
        <f t="shared" si="103"/>
        <v>0</v>
      </c>
      <c r="DB640" s="19">
        <f t="shared" si="104"/>
        <v>0</v>
      </c>
      <c r="DC640" s="19">
        <f t="shared" si="105"/>
        <v>0</v>
      </c>
      <c r="DD640" s="19">
        <f t="shared" si="106"/>
        <v>0</v>
      </c>
      <c r="DE640" s="19">
        <f t="shared" si="107"/>
        <v>0</v>
      </c>
      <c r="DF640" s="19">
        <f t="shared" si="108"/>
        <v>0</v>
      </c>
      <c r="DG640" s="19">
        <f t="shared" si="109"/>
        <v>0</v>
      </c>
      <c r="DH640" s="20">
        <f t="shared" si="110"/>
        <v>0</v>
      </c>
      <c r="DI640" s="20">
        <f t="shared" si="111"/>
        <v>0</v>
      </c>
    </row>
    <row r="641" spans="80:113" x14ac:dyDescent="0.3">
      <c r="CB641" s="18"/>
      <c r="CC641" s="19"/>
      <c r="CD641" s="19"/>
      <c r="CE641" s="19"/>
      <c r="CF641" s="19"/>
      <c r="CG641" s="19"/>
      <c r="CH641" s="19"/>
      <c r="CI641" s="18"/>
      <c r="CJ641" s="18"/>
      <c r="CN641" s="18"/>
      <c r="CO641" s="19"/>
      <c r="CP641" s="19"/>
      <c r="CQ641" s="19"/>
      <c r="CR641" s="19"/>
      <c r="CS641" s="19"/>
      <c r="CT641" s="19"/>
      <c r="CU641" s="20"/>
      <c r="CV641" s="20"/>
      <c r="DA641" s="18">
        <f t="shared" si="103"/>
        <v>0</v>
      </c>
      <c r="DB641" s="19">
        <f t="shared" si="104"/>
        <v>0</v>
      </c>
      <c r="DC641" s="19">
        <f t="shared" si="105"/>
        <v>0</v>
      </c>
      <c r="DD641" s="19">
        <f t="shared" si="106"/>
        <v>0</v>
      </c>
      <c r="DE641" s="19">
        <f t="shared" si="107"/>
        <v>0</v>
      </c>
      <c r="DF641" s="19">
        <f t="shared" si="108"/>
        <v>0</v>
      </c>
      <c r="DG641" s="19">
        <f t="shared" si="109"/>
        <v>0</v>
      </c>
      <c r="DH641" s="20">
        <f t="shared" si="110"/>
        <v>0</v>
      </c>
      <c r="DI641" s="20">
        <f t="shared" si="111"/>
        <v>0</v>
      </c>
    </row>
    <row r="642" spans="80:113" x14ac:dyDescent="0.3">
      <c r="CB642" s="18"/>
      <c r="CC642" s="19"/>
      <c r="CD642" s="19"/>
      <c r="CE642" s="19"/>
      <c r="CF642" s="19"/>
      <c r="CG642" s="19"/>
      <c r="CH642" s="19"/>
      <c r="CI642" s="18"/>
      <c r="CJ642" s="18"/>
      <c r="CN642" s="18"/>
      <c r="CO642" s="19"/>
      <c r="CP642" s="19"/>
      <c r="CQ642" s="19"/>
      <c r="CR642" s="19"/>
      <c r="CS642" s="19"/>
      <c r="CT642" s="19"/>
      <c r="CU642" s="20"/>
      <c r="CV642" s="20"/>
      <c r="DA642" s="18">
        <f t="shared" si="103"/>
        <v>0</v>
      </c>
      <c r="DB642" s="19">
        <f t="shared" si="104"/>
        <v>0</v>
      </c>
      <c r="DC642" s="19">
        <f t="shared" si="105"/>
        <v>0</v>
      </c>
      <c r="DD642" s="19">
        <f t="shared" si="106"/>
        <v>0</v>
      </c>
      <c r="DE642" s="19">
        <f t="shared" si="107"/>
        <v>0</v>
      </c>
      <c r="DF642" s="19">
        <f t="shared" si="108"/>
        <v>0</v>
      </c>
      <c r="DG642" s="19">
        <f t="shared" si="109"/>
        <v>0</v>
      </c>
      <c r="DH642" s="20">
        <f t="shared" si="110"/>
        <v>0</v>
      </c>
      <c r="DI642" s="20">
        <f t="shared" si="111"/>
        <v>0</v>
      </c>
    </row>
    <row r="643" spans="80:113" x14ac:dyDescent="0.3">
      <c r="CB643" s="18"/>
      <c r="CC643" s="19"/>
      <c r="CD643" s="19"/>
      <c r="CE643" s="19"/>
      <c r="CF643" s="19"/>
      <c r="CG643" s="19"/>
      <c r="CH643" s="19"/>
      <c r="CI643" s="18"/>
      <c r="CJ643" s="18"/>
      <c r="CN643" s="18"/>
      <c r="CO643" s="19"/>
      <c r="CP643" s="19"/>
      <c r="CQ643" s="19"/>
      <c r="CR643" s="19"/>
      <c r="CS643" s="19"/>
      <c r="CT643" s="19"/>
      <c r="CU643" s="20"/>
      <c r="CV643" s="20"/>
      <c r="DA643" s="18">
        <f t="shared" ref="DA643:DA706" si="112">IF($BZ$2=1,CN643,CB643)</f>
        <v>0</v>
      </c>
      <c r="DB643" s="19">
        <f t="shared" ref="DB643:DB706" si="113">IF($BZ$2=1,CO643,CC643)</f>
        <v>0</v>
      </c>
      <c r="DC643" s="19">
        <f t="shared" ref="DC643:DC706" si="114">IF($BZ$2=1,CP643,CD643)</f>
        <v>0</v>
      </c>
      <c r="DD643" s="19">
        <f t="shared" ref="DD643:DD706" si="115">IF($BZ$2=1,CQ643,CE643)</f>
        <v>0</v>
      </c>
      <c r="DE643" s="19">
        <f t="shared" ref="DE643:DE706" si="116">IF($BZ$2=1,CR643,CF643)</f>
        <v>0</v>
      </c>
      <c r="DF643" s="19">
        <f t="shared" ref="DF643:DF706" si="117">IF($BZ$2=1,CS643,CG643)</f>
        <v>0</v>
      </c>
      <c r="DG643" s="19">
        <f t="shared" ref="DG643:DG706" si="118">IF($BZ$2=1,CT643,CH643)</f>
        <v>0</v>
      </c>
      <c r="DH643" s="20">
        <f t="shared" ref="DH643:DH706" si="119">IF($BZ$2=1,CU643,CI643)</f>
        <v>0</v>
      </c>
      <c r="DI643" s="20">
        <f t="shared" ref="DI643:DI706" si="120">IF($BZ$2=1,CV643,CJ643)</f>
        <v>0</v>
      </c>
    </row>
    <row r="644" spans="80:113" x14ac:dyDescent="0.3">
      <c r="CB644" s="18"/>
      <c r="CC644" s="19"/>
      <c r="CD644" s="19"/>
      <c r="CE644" s="19"/>
      <c r="CF644" s="19"/>
      <c r="CG644" s="19"/>
      <c r="CH644" s="19"/>
      <c r="CI644" s="18"/>
      <c r="CJ644" s="18"/>
      <c r="CN644" s="18"/>
      <c r="CO644" s="19"/>
      <c r="CP644" s="19"/>
      <c r="CQ644" s="19"/>
      <c r="CR644" s="19"/>
      <c r="CS644" s="19"/>
      <c r="CT644" s="19"/>
      <c r="CU644" s="20"/>
      <c r="CV644" s="20"/>
      <c r="DA644" s="18">
        <f t="shared" si="112"/>
        <v>0</v>
      </c>
      <c r="DB644" s="19">
        <f t="shared" si="113"/>
        <v>0</v>
      </c>
      <c r="DC644" s="19">
        <f t="shared" si="114"/>
        <v>0</v>
      </c>
      <c r="DD644" s="19">
        <f t="shared" si="115"/>
        <v>0</v>
      </c>
      <c r="DE644" s="19">
        <f t="shared" si="116"/>
        <v>0</v>
      </c>
      <c r="DF644" s="19">
        <f t="shared" si="117"/>
        <v>0</v>
      </c>
      <c r="DG644" s="19">
        <f t="shared" si="118"/>
        <v>0</v>
      </c>
      <c r="DH644" s="20">
        <f t="shared" si="119"/>
        <v>0</v>
      </c>
      <c r="DI644" s="20">
        <f t="shared" si="120"/>
        <v>0</v>
      </c>
    </row>
    <row r="645" spans="80:113" x14ac:dyDescent="0.3">
      <c r="CB645" s="18"/>
      <c r="CC645" s="19"/>
      <c r="CD645" s="19"/>
      <c r="CE645" s="19"/>
      <c r="CF645" s="19"/>
      <c r="CG645" s="19"/>
      <c r="CH645" s="19"/>
      <c r="CI645" s="18"/>
      <c r="CJ645" s="18"/>
      <c r="CN645" s="18"/>
      <c r="CO645" s="19"/>
      <c r="CP645" s="19"/>
      <c r="CQ645" s="19"/>
      <c r="CR645" s="19"/>
      <c r="CS645" s="19"/>
      <c r="CT645" s="19"/>
      <c r="CU645" s="20"/>
      <c r="CV645" s="20"/>
      <c r="DA645" s="18">
        <f t="shared" si="112"/>
        <v>0</v>
      </c>
      <c r="DB645" s="19">
        <f t="shared" si="113"/>
        <v>0</v>
      </c>
      <c r="DC645" s="19">
        <f t="shared" si="114"/>
        <v>0</v>
      </c>
      <c r="DD645" s="19">
        <f t="shared" si="115"/>
        <v>0</v>
      </c>
      <c r="DE645" s="19">
        <f t="shared" si="116"/>
        <v>0</v>
      </c>
      <c r="DF645" s="19">
        <f t="shared" si="117"/>
        <v>0</v>
      </c>
      <c r="DG645" s="19">
        <f t="shared" si="118"/>
        <v>0</v>
      </c>
      <c r="DH645" s="20">
        <f t="shared" si="119"/>
        <v>0</v>
      </c>
      <c r="DI645" s="20">
        <f t="shared" si="120"/>
        <v>0</v>
      </c>
    </row>
    <row r="646" spans="80:113" x14ac:dyDescent="0.3">
      <c r="CB646" s="18"/>
      <c r="CC646" s="19"/>
      <c r="CD646" s="19"/>
      <c r="CE646" s="19"/>
      <c r="CF646" s="19"/>
      <c r="CG646" s="19"/>
      <c r="CH646" s="19"/>
      <c r="CI646" s="18"/>
      <c r="CJ646" s="18"/>
      <c r="CN646" s="18"/>
      <c r="CO646" s="19"/>
      <c r="CP646" s="19"/>
      <c r="CQ646" s="19"/>
      <c r="CR646" s="19"/>
      <c r="CS646" s="19"/>
      <c r="CT646" s="19"/>
      <c r="CU646" s="20"/>
      <c r="CV646" s="20"/>
      <c r="DA646" s="18">
        <f t="shared" si="112"/>
        <v>0</v>
      </c>
      <c r="DB646" s="19">
        <f t="shared" si="113"/>
        <v>0</v>
      </c>
      <c r="DC646" s="19">
        <f t="shared" si="114"/>
        <v>0</v>
      </c>
      <c r="DD646" s="19">
        <f t="shared" si="115"/>
        <v>0</v>
      </c>
      <c r="DE646" s="19">
        <f t="shared" si="116"/>
        <v>0</v>
      </c>
      <c r="DF646" s="19">
        <f t="shared" si="117"/>
        <v>0</v>
      </c>
      <c r="DG646" s="19">
        <f t="shared" si="118"/>
        <v>0</v>
      </c>
      <c r="DH646" s="20">
        <f t="shared" si="119"/>
        <v>0</v>
      </c>
      <c r="DI646" s="20">
        <f t="shared" si="120"/>
        <v>0</v>
      </c>
    </row>
    <row r="647" spans="80:113" x14ac:dyDescent="0.3">
      <c r="CB647" s="18"/>
      <c r="CC647" s="19"/>
      <c r="CD647" s="19"/>
      <c r="CE647" s="19"/>
      <c r="CF647" s="19"/>
      <c r="CG647" s="19"/>
      <c r="CH647" s="19"/>
      <c r="CI647" s="18"/>
      <c r="CJ647" s="18"/>
      <c r="CN647" s="18"/>
      <c r="CO647" s="19"/>
      <c r="CP647" s="19"/>
      <c r="CQ647" s="19"/>
      <c r="CR647" s="19"/>
      <c r="CS647" s="19"/>
      <c r="CT647" s="19"/>
      <c r="CU647" s="20"/>
      <c r="CV647" s="20"/>
      <c r="DA647" s="18">
        <f t="shared" si="112"/>
        <v>0</v>
      </c>
      <c r="DB647" s="19">
        <f t="shared" si="113"/>
        <v>0</v>
      </c>
      <c r="DC647" s="19">
        <f t="shared" si="114"/>
        <v>0</v>
      </c>
      <c r="DD647" s="19">
        <f t="shared" si="115"/>
        <v>0</v>
      </c>
      <c r="DE647" s="19">
        <f t="shared" si="116"/>
        <v>0</v>
      </c>
      <c r="DF647" s="19">
        <f t="shared" si="117"/>
        <v>0</v>
      </c>
      <c r="DG647" s="19">
        <f t="shared" si="118"/>
        <v>0</v>
      </c>
      <c r="DH647" s="20">
        <f t="shared" si="119"/>
        <v>0</v>
      </c>
      <c r="DI647" s="20">
        <f t="shared" si="120"/>
        <v>0</v>
      </c>
    </row>
    <row r="648" spans="80:113" x14ac:dyDescent="0.3">
      <c r="CB648" s="18"/>
      <c r="CC648" s="19"/>
      <c r="CD648" s="19"/>
      <c r="CE648" s="19"/>
      <c r="CF648" s="19"/>
      <c r="CG648" s="19"/>
      <c r="CH648" s="19"/>
      <c r="CI648" s="18"/>
      <c r="CJ648" s="18"/>
      <c r="CN648" s="18"/>
      <c r="CO648" s="19"/>
      <c r="CP648" s="19"/>
      <c r="CQ648" s="19"/>
      <c r="CR648" s="19"/>
      <c r="CS648" s="19"/>
      <c r="CT648" s="19"/>
      <c r="CU648" s="20"/>
      <c r="CV648" s="20"/>
      <c r="DA648" s="18">
        <f t="shared" si="112"/>
        <v>0</v>
      </c>
      <c r="DB648" s="19">
        <f t="shared" si="113"/>
        <v>0</v>
      </c>
      <c r="DC648" s="19">
        <f t="shared" si="114"/>
        <v>0</v>
      </c>
      <c r="DD648" s="19">
        <f t="shared" si="115"/>
        <v>0</v>
      </c>
      <c r="DE648" s="19">
        <f t="shared" si="116"/>
        <v>0</v>
      </c>
      <c r="DF648" s="19">
        <f t="shared" si="117"/>
        <v>0</v>
      </c>
      <c r="DG648" s="19">
        <f t="shared" si="118"/>
        <v>0</v>
      </c>
      <c r="DH648" s="20">
        <f t="shared" si="119"/>
        <v>0</v>
      </c>
      <c r="DI648" s="20">
        <f t="shared" si="120"/>
        <v>0</v>
      </c>
    </row>
    <row r="649" spans="80:113" x14ac:dyDescent="0.3">
      <c r="CB649" s="18"/>
      <c r="CC649" s="19"/>
      <c r="CD649" s="19"/>
      <c r="CE649" s="19"/>
      <c r="CF649" s="19"/>
      <c r="CG649" s="19"/>
      <c r="CH649" s="19"/>
      <c r="CI649" s="18"/>
      <c r="CJ649" s="18"/>
      <c r="CN649" s="18"/>
      <c r="CO649" s="19"/>
      <c r="CP649" s="19"/>
      <c r="CQ649" s="19"/>
      <c r="CR649" s="19"/>
      <c r="CS649" s="19"/>
      <c r="CT649" s="19"/>
      <c r="CU649" s="20"/>
      <c r="CV649" s="20"/>
      <c r="DA649" s="18">
        <f t="shared" si="112"/>
        <v>0</v>
      </c>
      <c r="DB649" s="19">
        <f t="shared" si="113"/>
        <v>0</v>
      </c>
      <c r="DC649" s="19">
        <f t="shared" si="114"/>
        <v>0</v>
      </c>
      <c r="DD649" s="19">
        <f t="shared" si="115"/>
        <v>0</v>
      </c>
      <c r="DE649" s="19">
        <f t="shared" si="116"/>
        <v>0</v>
      </c>
      <c r="DF649" s="19">
        <f t="shared" si="117"/>
        <v>0</v>
      </c>
      <c r="DG649" s="19">
        <f t="shared" si="118"/>
        <v>0</v>
      </c>
      <c r="DH649" s="20">
        <f t="shared" si="119"/>
        <v>0</v>
      </c>
      <c r="DI649" s="20">
        <f t="shared" si="120"/>
        <v>0</v>
      </c>
    </row>
    <row r="650" spans="80:113" x14ac:dyDescent="0.3">
      <c r="CB650" s="18"/>
      <c r="CC650" s="19"/>
      <c r="CD650" s="19"/>
      <c r="CE650" s="19"/>
      <c r="CF650" s="19"/>
      <c r="CG650" s="19"/>
      <c r="CH650" s="19"/>
      <c r="CI650" s="18"/>
      <c r="CJ650" s="18"/>
      <c r="CN650" s="18"/>
      <c r="CO650" s="19"/>
      <c r="CP650" s="19"/>
      <c r="CQ650" s="19"/>
      <c r="CR650" s="19"/>
      <c r="CS650" s="19"/>
      <c r="CT650" s="19"/>
      <c r="CU650" s="20"/>
      <c r="CV650" s="20"/>
      <c r="DA650" s="18">
        <f t="shared" si="112"/>
        <v>0</v>
      </c>
      <c r="DB650" s="19">
        <f t="shared" si="113"/>
        <v>0</v>
      </c>
      <c r="DC650" s="19">
        <f t="shared" si="114"/>
        <v>0</v>
      </c>
      <c r="DD650" s="19">
        <f t="shared" si="115"/>
        <v>0</v>
      </c>
      <c r="DE650" s="19">
        <f t="shared" si="116"/>
        <v>0</v>
      </c>
      <c r="DF650" s="19">
        <f t="shared" si="117"/>
        <v>0</v>
      </c>
      <c r="DG650" s="19">
        <f t="shared" si="118"/>
        <v>0</v>
      </c>
      <c r="DH650" s="20">
        <f t="shared" si="119"/>
        <v>0</v>
      </c>
      <c r="DI650" s="20">
        <f t="shared" si="120"/>
        <v>0</v>
      </c>
    </row>
    <row r="651" spans="80:113" x14ac:dyDescent="0.3">
      <c r="CB651" s="18"/>
      <c r="CC651" s="19"/>
      <c r="CD651" s="19"/>
      <c r="CE651" s="19"/>
      <c r="CF651" s="19"/>
      <c r="CG651" s="19"/>
      <c r="CH651" s="19"/>
      <c r="CI651" s="18"/>
      <c r="CJ651" s="18"/>
      <c r="CN651" s="18"/>
      <c r="CO651" s="19"/>
      <c r="CP651" s="19"/>
      <c r="CQ651" s="19"/>
      <c r="CR651" s="19"/>
      <c r="CS651" s="19"/>
      <c r="CT651" s="19"/>
      <c r="CU651" s="20"/>
      <c r="CV651" s="20"/>
      <c r="DA651" s="18">
        <f t="shared" si="112"/>
        <v>0</v>
      </c>
      <c r="DB651" s="19">
        <f t="shared" si="113"/>
        <v>0</v>
      </c>
      <c r="DC651" s="19">
        <f t="shared" si="114"/>
        <v>0</v>
      </c>
      <c r="DD651" s="19">
        <f t="shared" si="115"/>
        <v>0</v>
      </c>
      <c r="DE651" s="19">
        <f t="shared" si="116"/>
        <v>0</v>
      </c>
      <c r="DF651" s="19">
        <f t="shared" si="117"/>
        <v>0</v>
      </c>
      <c r="DG651" s="19">
        <f t="shared" si="118"/>
        <v>0</v>
      </c>
      <c r="DH651" s="20">
        <f t="shared" si="119"/>
        <v>0</v>
      </c>
      <c r="DI651" s="20">
        <f t="shared" si="120"/>
        <v>0</v>
      </c>
    </row>
    <row r="652" spans="80:113" x14ac:dyDescent="0.3">
      <c r="CB652" s="18"/>
      <c r="CC652" s="19"/>
      <c r="CD652" s="19"/>
      <c r="CE652" s="19"/>
      <c r="CF652" s="19"/>
      <c r="CG652" s="19"/>
      <c r="CH652" s="19"/>
      <c r="CI652" s="18"/>
      <c r="CJ652" s="18"/>
      <c r="CN652" s="18"/>
      <c r="CO652" s="19"/>
      <c r="CP652" s="19"/>
      <c r="CQ652" s="19"/>
      <c r="CR652" s="19"/>
      <c r="CS652" s="19"/>
      <c r="CT652" s="19"/>
      <c r="CU652" s="20"/>
      <c r="CV652" s="20"/>
      <c r="DA652" s="18">
        <f t="shared" si="112"/>
        <v>0</v>
      </c>
      <c r="DB652" s="19">
        <f t="shared" si="113"/>
        <v>0</v>
      </c>
      <c r="DC652" s="19">
        <f t="shared" si="114"/>
        <v>0</v>
      </c>
      <c r="DD652" s="19">
        <f t="shared" si="115"/>
        <v>0</v>
      </c>
      <c r="DE652" s="19">
        <f t="shared" si="116"/>
        <v>0</v>
      </c>
      <c r="DF652" s="19">
        <f t="shared" si="117"/>
        <v>0</v>
      </c>
      <c r="DG652" s="19">
        <f t="shared" si="118"/>
        <v>0</v>
      </c>
      <c r="DH652" s="20">
        <f t="shared" si="119"/>
        <v>0</v>
      </c>
      <c r="DI652" s="20">
        <f t="shared" si="120"/>
        <v>0</v>
      </c>
    </row>
    <row r="653" spans="80:113" x14ac:dyDescent="0.3">
      <c r="CB653" s="18"/>
      <c r="CC653" s="19"/>
      <c r="CD653" s="19"/>
      <c r="CE653" s="19"/>
      <c r="CF653" s="19"/>
      <c r="CG653" s="19"/>
      <c r="CH653" s="19"/>
      <c r="CI653" s="18"/>
      <c r="CJ653" s="18"/>
      <c r="CN653" s="18"/>
      <c r="CO653" s="19"/>
      <c r="CP653" s="19"/>
      <c r="CQ653" s="19"/>
      <c r="CR653" s="19"/>
      <c r="CS653" s="19"/>
      <c r="CT653" s="19"/>
      <c r="CU653" s="20"/>
      <c r="CV653" s="20"/>
      <c r="DA653" s="18">
        <f t="shared" si="112"/>
        <v>0</v>
      </c>
      <c r="DB653" s="19">
        <f t="shared" si="113"/>
        <v>0</v>
      </c>
      <c r="DC653" s="19">
        <f t="shared" si="114"/>
        <v>0</v>
      </c>
      <c r="DD653" s="19">
        <f t="shared" si="115"/>
        <v>0</v>
      </c>
      <c r="DE653" s="19">
        <f t="shared" si="116"/>
        <v>0</v>
      </c>
      <c r="DF653" s="19">
        <f t="shared" si="117"/>
        <v>0</v>
      </c>
      <c r="DG653" s="19">
        <f t="shared" si="118"/>
        <v>0</v>
      </c>
      <c r="DH653" s="20">
        <f t="shared" si="119"/>
        <v>0</v>
      </c>
      <c r="DI653" s="20">
        <f t="shared" si="120"/>
        <v>0</v>
      </c>
    </row>
    <row r="654" spans="80:113" x14ac:dyDescent="0.3">
      <c r="CB654" s="18"/>
      <c r="CC654" s="19"/>
      <c r="CD654" s="19"/>
      <c r="CE654" s="19"/>
      <c r="CF654" s="19"/>
      <c r="CG654" s="19"/>
      <c r="CH654" s="19"/>
      <c r="CI654" s="18"/>
      <c r="CJ654" s="18"/>
      <c r="CN654" s="18"/>
      <c r="CO654" s="19"/>
      <c r="CP654" s="19"/>
      <c r="CQ654" s="19"/>
      <c r="CR654" s="19"/>
      <c r="CS654" s="19"/>
      <c r="CT654" s="19"/>
      <c r="CU654" s="20"/>
      <c r="CV654" s="20"/>
      <c r="DA654" s="18">
        <f t="shared" si="112"/>
        <v>0</v>
      </c>
      <c r="DB654" s="19">
        <f t="shared" si="113"/>
        <v>0</v>
      </c>
      <c r="DC654" s="19">
        <f t="shared" si="114"/>
        <v>0</v>
      </c>
      <c r="DD654" s="19">
        <f t="shared" si="115"/>
        <v>0</v>
      </c>
      <c r="DE654" s="19">
        <f t="shared" si="116"/>
        <v>0</v>
      </c>
      <c r="DF654" s="19">
        <f t="shared" si="117"/>
        <v>0</v>
      </c>
      <c r="DG654" s="19">
        <f t="shared" si="118"/>
        <v>0</v>
      </c>
      <c r="DH654" s="20">
        <f t="shared" si="119"/>
        <v>0</v>
      </c>
      <c r="DI654" s="20">
        <f t="shared" si="120"/>
        <v>0</v>
      </c>
    </row>
    <row r="655" spans="80:113" x14ac:dyDescent="0.3">
      <c r="CB655" s="18"/>
      <c r="CC655" s="19"/>
      <c r="CD655" s="19"/>
      <c r="CE655" s="19"/>
      <c r="CF655" s="19"/>
      <c r="CG655" s="19"/>
      <c r="CH655" s="19"/>
      <c r="CI655" s="18"/>
      <c r="CJ655" s="18"/>
      <c r="CN655" s="18"/>
      <c r="CO655" s="19"/>
      <c r="CP655" s="19"/>
      <c r="CQ655" s="19"/>
      <c r="CR655" s="19"/>
      <c r="CS655" s="19"/>
      <c r="CT655" s="19"/>
      <c r="CU655" s="20"/>
      <c r="CV655" s="20"/>
      <c r="DA655" s="18">
        <f t="shared" si="112"/>
        <v>0</v>
      </c>
      <c r="DB655" s="19">
        <f t="shared" si="113"/>
        <v>0</v>
      </c>
      <c r="DC655" s="19">
        <f t="shared" si="114"/>
        <v>0</v>
      </c>
      <c r="DD655" s="19">
        <f t="shared" si="115"/>
        <v>0</v>
      </c>
      <c r="DE655" s="19">
        <f t="shared" si="116"/>
        <v>0</v>
      </c>
      <c r="DF655" s="19">
        <f t="shared" si="117"/>
        <v>0</v>
      </c>
      <c r="DG655" s="19">
        <f t="shared" si="118"/>
        <v>0</v>
      </c>
      <c r="DH655" s="20">
        <f t="shared" si="119"/>
        <v>0</v>
      </c>
      <c r="DI655" s="20">
        <f t="shared" si="120"/>
        <v>0</v>
      </c>
    </row>
    <row r="656" spans="80:113" x14ac:dyDescent="0.3">
      <c r="CB656" s="18"/>
      <c r="CC656" s="19"/>
      <c r="CD656" s="19"/>
      <c r="CE656" s="19"/>
      <c r="CF656" s="19"/>
      <c r="CG656" s="19"/>
      <c r="CH656" s="19"/>
      <c r="CI656" s="18"/>
      <c r="CJ656" s="18"/>
      <c r="CN656" s="18"/>
      <c r="CO656" s="19"/>
      <c r="CP656" s="19"/>
      <c r="CQ656" s="19"/>
      <c r="CR656" s="19"/>
      <c r="CS656" s="19"/>
      <c r="CT656" s="19"/>
      <c r="CU656" s="20"/>
      <c r="CV656" s="20"/>
      <c r="DA656" s="18">
        <f t="shared" si="112"/>
        <v>0</v>
      </c>
      <c r="DB656" s="19">
        <f t="shared" si="113"/>
        <v>0</v>
      </c>
      <c r="DC656" s="19">
        <f t="shared" si="114"/>
        <v>0</v>
      </c>
      <c r="DD656" s="19">
        <f t="shared" si="115"/>
        <v>0</v>
      </c>
      <c r="DE656" s="19">
        <f t="shared" si="116"/>
        <v>0</v>
      </c>
      <c r="DF656" s="19">
        <f t="shared" si="117"/>
        <v>0</v>
      </c>
      <c r="DG656" s="19">
        <f t="shared" si="118"/>
        <v>0</v>
      </c>
      <c r="DH656" s="20">
        <f t="shared" si="119"/>
        <v>0</v>
      </c>
      <c r="DI656" s="20">
        <f t="shared" si="120"/>
        <v>0</v>
      </c>
    </row>
    <row r="657" spans="80:113" x14ac:dyDescent="0.3">
      <c r="CB657" s="18"/>
      <c r="CC657" s="19"/>
      <c r="CD657" s="19"/>
      <c r="CE657" s="19"/>
      <c r="CF657" s="19"/>
      <c r="CG657" s="19"/>
      <c r="CH657" s="19"/>
      <c r="CI657" s="18"/>
      <c r="CJ657" s="18"/>
      <c r="CN657" s="18"/>
      <c r="CO657" s="19"/>
      <c r="CP657" s="19"/>
      <c r="CQ657" s="19"/>
      <c r="CR657" s="19"/>
      <c r="CS657" s="19"/>
      <c r="CT657" s="19"/>
      <c r="CU657" s="20"/>
      <c r="CV657" s="20"/>
      <c r="DA657" s="18">
        <f t="shared" si="112"/>
        <v>0</v>
      </c>
      <c r="DB657" s="19">
        <f t="shared" si="113"/>
        <v>0</v>
      </c>
      <c r="DC657" s="19">
        <f t="shared" si="114"/>
        <v>0</v>
      </c>
      <c r="DD657" s="19">
        <f t="shared" si="115"/>
        <v>0</v>
      </c>
      <c r="DE657" s="19">
        <f t="shared" si="116"/>
        <v>0</v>
      </c>
      <c r="DF657" s="19">
        <f t="shared" si="117"/>
        <v>0</v>
      </c>
      <c r="DG657" s="19">
        <f t="shared" si="118"/>
        <v>0</v>
      </c>
      <c r="DH657" s="20">
        <f t="shared" si="119"/>
        <v>0</v>
      </c>
      <c r="DI657" s="20">
        <f t="shared" si="120"/>
        <v>0</v>
      </c>
    </row>
    <row r="658" spans="80:113" x14ac:dyDescent="0.3">
      <c r="CB658" s="18"/>
      <c r="CC658" s="19"/>
      <c r="CD658" s="19"/>
      <c r="CE658" s="19"/>
      <c r="CF658" s="19"/>
      <c r="CG658" s="19"/>
      <c r="CH658" s="19"/>
      <c r="CI658" s="18"/>
      <c r="CJ658" s="18"/>
      <c r="CN658" s="18"/>
      <c r="CO658" s="19"/>
      <c r="CP658" s="19"/>
      <c r="CQ658" s="19"/>
      <c r="CR658" s="19"/>
      <c r="CS658" s="19"/>
      <c r="CT658" s="19"/>
      <c r="CU658" s="20"/>
      <c r="CV658" s="20"/>
      <c r="DA658" s="18">
        <f t="shared" si="112"/>
        <v>0</v>
      </c>
      <c r="DB658" s="19">
        <f t="shared" si="113"/>
        <v>0</v>
      </c>
      <c r="DC658" s="19">
        <f t="shared" si="114"/>
        <v>0</v>
      </c>
      <c r="DD658" s="19">
        <f t="shared" si="115"/>
        <v>0</v>
      </c>
      <c r="DE658" s="19">
        <f t="shared" si="116"/>
        <v>0</v>
      </c>
      <c r="DF658" s="19">
        <f t="shared" si="117"/>
        <v>0</v>
      </c>
      <c r="DG658" s="19">
        <f t="shared" si="118"/>
        <v>0</v>
      </c>
      <c r="DH658" s="20">
        <f t="shared" si="119"/>
        <v>0</v>
      </c>
      <c r="DI658" s="20">
        <f t="shared" si="120"/>
        <v>0</v>
      </c>
    </row>
    <row r="659" spans="80:113" x14ac:dyDescent="0.3">
      <c r="CB659" s="18"/>
      <c r="CC659" s="19"/>
      <c r="CD659" s="19"/>
      <c r="CE659" s="19"/>
      <c r="CF659" s="19"/>
      <c r="CG659" s="19"/>
      <c r="CH659" s="19"/>
      <c r="CI659" s="18"/>
      <c r="CJ659" s="18"/>
      <c r="CN659" s="18"/>
      <c r="CO659" s="19"/>
      <c r="CP659" s="19"/>
      <c r="CQ659" s="19"/>
      <c r="CR659" s="19"/>
      <c r="CS659" s="19"/>
      <c r="CT659" s="19"/>
      <c r="CU659" s="20"/>
      <c r="CV659" s="20"/>
      <c r="DA659" s="18">
        <f t="shared" si="112"/>
        <v>0</v>
      </c>
      <c r="DB659" s="19">
        <f t="shared" si="113"/>
        <v>0</v>
      </c>
      <c r="DC659" s="19">
        <f t="shared" si="114"/>
        <v>0</v>
      </c>
      <c r="DD659" s="19">
        <f t="shared" si="115"/>
        <v>0</v>
      </c>
      <c r="DE659" s="19">
        <f t="shared" si="116"/>
        <v>0</v>
      </c>
      <c r="DF659" s="19">
        <f t="shared" si="117"/>
        <v>0</v>
      </c>
      <c r="DG659" s="19">
        <f t="shared" si="118"/>
        <v>0</v>
      </c>
      <c r="DH659" s="20">
        <f t="shared" si="119"/>
        <v>0</v>
      </c>
      <c r="DI659" s="20">
        <f t="shared" si="120"/>
        <v>0</v>
      </c>
    </row>
    <row r="660" spans="80:113" x14ac:dyDescent="0.3">
      <c r="CB660" s="18"/>
      <c r="CC660" s="19"/>
      <c r="CD660" s="19"/>
      <c r="CE660" s="19"/>
      <c r="CF660" s="19"/>
      <c r="CG660" s="19"/>
      <c r="CH660" s="19"/>
      <c r="CI660" s="18"/>
      <c r="CJ660" s="18"/>
      <c r="CN660" s="18"/>
      <c r="CO660" s="19"/>
      <c r="CP660" s="19"/>
      <c r="CQ660" s="19"/>
      <c r="CR660" s="19"/>
      <c r="CS660" s="19"/>
      <c r="CT660" s="19"/>
      <c r="CU660" s="20"/>
      <c r="CV660" s="20"/>
      <c r="DA660" s="18">
        <f t="shared" si="112"/>
        <v>0</v>
      </c>
      <c r="DB660" s="19">
        <f t="shared" si="113"/>
        <v>0</v>
      </c>
      <c r="DC660" s="19">
        <f t="shared" si="114"/>
        <v>0</v>
      </c>
      <c r="DD660" s="19">
        <f t="shared" si="115"/>
        <v>0</v>
      </c>
      <c r="DE660" s="19">
        <f t="shared" si="116"/>
        <v>0</v>
      </c>
      <c r="DF660" s="19">
        <f t="shared" si="117"/>
        <v>0</v>
      </c>
      <c r="DG660" s="19">
        <f t="shared" si="118"/>
        <v>0</v>
      </c>
      <c r="DH660" s="20">
        <f t="shared" si="119"/>
        <v>0</v>
      </c>
      <c r="DI660" s="20">
        <f t="shared" si="120"/>
        <v>0</v>
      </c>
    </row>
    <row r="661" spans="80:113" x14ac:dyDescent="0.3">
      <c r="CB661" s="18"/>
      <c r="CC661" s="19"/>
      <c r="CD661" s="19"/>
      <c r="CE661" s="19"/>
      <c r="CF661" s="19"/>
      <c r="CG661" s="19"/>
      <c r="CH661" s="19"/>
      <c r="CI661" s="18"/>
      <c r="CJ661" s="18"/>
      <c r="CN661" s="18"/>
      <c r="CO661" s="19"/>
      <c r="CP661" s="19"/>
      <c r="CQ661" s="19"/>
      <c r="CR661" s="19"/>
      <c r="CS661" s="19"/>
      <c r="CT661" s="19"/>
      <c r="CU661" s="20"/>
      <c r="CV661" s="20"/>
      <c r="DA661" s="18">
        <f t="shared" si="112"/>
        <v>0</v>
      </c>
      <c r="DB661" s="19">
        <f t="shared" si="113"/>
        <v>0</v>
      </c>
      <c r="DC661" s="19">
        <f t="shared" si="114"/>
        <v>0</v>
      </c>
      <c r="DD661" s="19">
        <f t="shared" si="115"/>
        <v>0</v>
      </c>
      <c r="DE661" s="19">
        <f t="shared" si="116"/>
        <v>0</v>
      </c>
      <c r="DF661" s="19">
        <f t="shared" si="117"/>
        <v>0</v>
      </c>
      <c r="DG661" s="19">
        <f t="shared" si="118"/>
        <v>0</v>
      </c>
      <c r="DH661" s="20">
        <f t="shared" si="119"/>
        <v>0</v>
      </c>
      <c r="DI661" s="20">
        <f t="shared" si="120"/>
        <v>0</v>
      </c>
    </row>
    <row r="662" spans="80:113" x14ac:dyDescent="0.3">
      <c r="CB662" s="18"/>
      <c r="CC662" s="19"/>
      <c r="CD662" s="19"/>
      <c r="CE662" s="19"/>
      <c r="CF662" s="19"/>
      <c r="CG662" s="19"/>
      <c r="CH662" s="19"/>
      <c r="CI662" s="18"/>
      <c r="CJ662" s="18"/>
      <c r="CN662" s="18"/>
      <c r="CO662" s="19"/>
      <c r="CP662" s="19"/>
      <c r="CQ662" s="19"/>
      <c r="CR662" s="19"/>
      <c r="CS662" s="19"/>
      <c r="CT662" s="19"/>
      <c r="CU662" s="20"/>
      <c r="CV662" s="20"/>
      <c r="DA662" s="18">
        <f t="shared" si="112"/>
        <v>0</v>
      </c>
      <c r="DB662" s="19">
        <f t="shared" si="113"/>
        <v>0</v>
      </c>
      <c r="DC662" s="19">
        <f t="shared" si="114"/>
        <v>0</v>
      </c>
      <c r="DD662" s="19">
        <f t="shared" si="115"/>
        <v>0</v>
      </c>
      <c r="DE662" s="19">
        <f t="shared" si="116"/>
        <v>0</v>
      </c>
      <c r="DF662" s="19">
        <f t="shared" si="117"/>
        <v>0</v>
      </c>
      <c r="DG662" s="19">
        <f t="shared" si="118"/>
        <v>0</v>
      </c>
      <c r="DH662" s="20">
        <f t="shared" si="119"/>
        <v>0</v>
      </c>
      <c r="DI662" s="20">
        <f t="shared" si="120"/>
        <v>0</v>
      </c>
    </row>
    <row r="663" spans="80:113" x14ac:dyDescent="0.3">
      <c r="CB663" s="18"/>
      <c r="CC663" s="19"/>
      <c r="CD663" s="19"/>
      <c r="CE663" s="19"/>
      <c r="CF663" s="19"/>
      <c r="CG663" s="19"/>
      <c r="CH663" s="19"/>
      <c r="CI663" s="18"/>
      <c r="CJ663" s="18"/>
      <c r="CN663" s="18"/>
      <c r="CO663" s="19"/>
      <c r="CP663" s="19"/>
      <c r="CQ663" s="19"/>
      <c r="CR663" s="19"/>
      <c r="CS663" s="19"/>
      <c r="CT663" s="19"/>
      <c r="CU663" s="20"/>
      <c r="CV663" s="20"/>
      <c r="DA663" s="18">
        <f t="shared" si="112"/>
        <v>0</v>
      </c>
      <c r="DB663" s="19">
        <f t="shared" si="113"/>
        <v>0</v>
      </c>
      <c r="DC663" s="19">
        <f t="shared" si="114"/>
        <v>0</v>
      </c>
      <c r="DD663" s="19">
        <f t="shared" si="115"/>
        <v>0</v>
      </c>
      <c r="DE663" s="19">
        <f t="shared" si="116"/>
        <v>0</v>
      </c>
      <c r="DF663" s="19">
        <f t="shared" si="117"/>
        <v>0</v>
      </c>
      <c r="DG663" s="19">
        <f t="shared" si="118"/>
        <v>0</v>
      </c>
      <c r="DH663" s="20">
        <f t="shared" si="119"/>
        <v>0</v>
      </c>
      <c r="DI663" s="20">
        <f t="shared" si="120"/>
        <v>0</v>
      </c>
    </row>
    <row r="664" spans="80:113" x14ac:dyDescent="0.3">
      <c r="CB664" s="18"/>
      <c r="CC664" s="19"/>
      <c r="CD664" s="19"/>
      <c r="CE664" s="19"/>
      <c r="CF664" s="19"/>
      <c r="CG664" s="19"/>
      <c r="CH664" s="19"/>
      <c r="CI664" s="18"/>
      <c r="CJ664" s="18"/>
      <c r="CN664" s="18"/>
      <c r="CO664" s="19"/>
      <c r="CP664" s="19"/>
      <c r="CQ664" s="19"/>
      <c r="CR664" s="19"/>
      <c r="CS664" s="19"/>
      <c r="CT664" s="19"/>
      <c r="CU664" s="20"/>
      <c r="CV664" s="20"/>
      <c r="DA664" s="18">
        <f t="shared" si="112"/>
        <v>0</v>
      </c>
      <c r="DB664" s="19">
        <f t="shared" si="113"/>
        <v>0</v>
      </c>
      <c r="DC664" s="19">
        <f t="shared" si="114"/>
        <v>0</v>
      </c>
      <c r="DD664" s="19">
        <f t="shared" si="115"/>
        <v>0</v>
      </c>
      <c r="DE664" s="19">
        <f t="shared" si="116"/>
        <v>0</v>
      </c>
      <c r="DF664" s="19">
        <f t="shared" si="117"/>
        <v>0</v>
      </c>
      <c r="DG664" s="19">
        <f t="shared" si="118"/>
        <v>0</v>
      </c>
      <c r="DH664" s="20">
        <f t="shared" si="119"/>
        <v>0</v>
      </c>
      <c r="DI664" s="20">
        <f t="shared" si="120"/>
        <v>0</v>
      </c>
    </row>
    <row r="665" spans="80:113" x14ac:dyDescent="0.3">
      <c r="CB665" s="18"/>
      <c r="CC665" s="19"/>
      <c r="CD665" s="19"/>
      <c r="CE665" s="19"/>
      <c r="CF665" s="19"/>
      <c r="CG665" s="19"/>
      <c r="CH665" s="19"/>
      <c r="CI665" s="18"/>
      <c r="CJ665" s="18"/>
      <c r="CN665" s="18"/>
      <c r="CO665" s="19"/>
      <c r="CP665" s="19"/>
      <c r="CQ665" s="19"/>
      <c r="CR665" s="19"/>
      <c r="CS665" s="19"/>
      <c r="CT665" s="19"/>
      <c r="CU665" s="20"/>
      <c r="CV665" s="20"/>
      <c r="DA665" s="18">
        <f t="shared" si="112"/>
        <v>0</v>
      </c>
      <c r="DB665" s="19">
        <f t="shared" si="113"/>
        <v>0</v>
      </c>
      <c r="DC665" s="19">
        <f t="shared" si="114"/>
        <v>0</v>
      </c>
      <c r="DD665" s="19">
        <f t="shared" si="115"/>
        <v>0</v>
      </c>
      <c r="DE665" s="19">
        <f t="shared" si="116"/>
        <v>0</v>
      </c>
      <c r="DF665" s="19">
        <f t="shared" si="117"/>
        <v>0</v>
      </c>
      <c r="DG665" s="19">
        <f t="shared" si="118"/>
        <v>0</v>
      </c>
      <c r="DH665" s="20">
        <f t="shared" si="119"/>
        <v>0</v>
      </c>
      <c r="DI665" s="20">
        <f t="shared" si="120"/>
        <v>0</v>
      </c>
    </row>
    <row r="666" spans="80:113" x14ac:dyDescent="0.3">
      <c r="CB666" s="18"/>
      <c r="CC666" s="19"/>
      <c r="CD666" s="19"/>
      <c r="CE666" s="19"/>
      <c r="CF666" s="19"/>
      <c r="CG666" s="19"/>
      <c r="CH666" s="19"/>
      <c r="CI666" s="18"/>
      <c r="CJ666" s="18"/>
      <c r="CN666" s="18"/>
      <c r="CO666" s="19"/>
      <c r="CP666" s="19"/>
      <c r="CQ666" s="19"/>
      <c r="CR666" s="19"/>
      <c r="CS666" s="19"/>
      <c r="CT666" s="19"/>
      <c r="CU666" s="20"/>
      <c r="CV666" s="20"/>
      <c r="DA666" s="18">
        <f t="shared" si="112"/>
        <v>0</v>
      </c>
      <c r="DB666" s="19">
        <f t="shared" si="113"/>
        <v>0</v>
      </c>
      <c r="DC666" s="19">
        <f t="shared" si="114"/>
        <v>0</v>
      </c>
      <c r="DD666" s="19">
        <f t="shared" si="115"/>
        <v>0</v>
      </c>
      <c r="DE666" s="19">
        <f t="shared" si="116"/>
        <v>0</v>
      </c>
      <c r="DF666" s="19">
        <f t="shared" si="117"/>
        <v>0</v>
      </c>
      <c r="DG666" s="19">
        <f t="shared" si="118"/>
        <v>0</v>
      </c>
      <c r="DH666" s="20">
        <f t="shared" si="119"/>
        <v>0</v>
      </c>
      <c r="DI666" s="20">
        <f t="shared" si="120"/>
        <v>0</v>
      </c>
    </row>
    <row r="667" spans="80:113" x14ac:dyDescent="0.3">
      <c r="CB667" s="18"/>
      <c r="CC667" s="19"/>
      <c r="CD667" s="19"/>
      <c r="CE667" s="19"/>
      <c r="CF667" s="19"/>
      <c r="CG667" s="19"/>
      <c r="CH667" s="19"/>
      <c r="CI667" s="18"/>
      <c r="CJ667" s="18"/>
      <c r="CN667" s="18"/>
      <c r="CO667" s="19"/>
      <c r="CP667" s="19"/>
      <c r="CQ667" s="19"/>
      <c r="CR667" s="19"/>
      <c r="CS667" s="19"/>
      <c r="CT667" s="19"/>
      <c r="CU667" s="20"/>
      <c r="CV667" s="20"/>
      <c r="DA667" s="18">
        <f t="shared" si="112"/>
        <v>0</v>
      </c>
      <c r="DB667" s="19">
        <f t="shared" si="113"/>
        <v>0</v>
      </c>
      <c r="DC667" s="19">
        <f t="shared" si="114"/>
        <v>0</v>
      </c>
      <c r="DD667" s="19">
        <f t="shared" si="115"/>
        <v>0</v>
      </c>
      <c r="DE667" s="19">
        <f t="shared" si="116"/>
        <v>0</v>
      </c>
      <c r="DF667" s="19">
        <f t="shared" si="117"/>
        <v>0</v>
      </c>
      <c r="DG667" s="19">
        <f t="shared" si="118"/>
        <v>0</v>
      </c>
      <c r="DH667" s="20">
        <f t="shared" si="119"/>
        <v>0</v>
      </c>
      <c r="DI667" s="20">
        <f t="shared" si="120"/>
        <v>0</v>
      </c>
    </row>
    <row r="668" spans="80:113" x14ac:dyDescent="0.3">
      <c r="CB668" s="18"/>
      <c r="CC668" s="19"/>
      <c r="CD668" s="19"/>
      <c r="CE668" s="19"/>
      <c r="CF668" s="19"/>
      <c r="CG668" s="19"/>
      <c r="CH668" s="19"/>
      <c r="CI668" s="18"/>
      <c r="CJ668" s="18"/>
      <c r="CN668" s="18"/>
      <c r="CO668" s="19"/>
      <c r="CP668" s="19"/>
      <c r="CQ668" s="19"/>
      <c r="CR668" s="19"/>
      <c r="CS668" s="19"/>
      <c r="CT668" s="19"/>
      <c r="CU668" s="20"/>
      <c r="CV668" s="20"/>
      <c r="DA668" s="18">
        <f t="shared" si="112"/>
        <v>0</v>
      </c>
      <c r="DB668" s="19">
        <f t="shared" si="113"/>
        <v>0</v>
      </c>
      <c r="DC668" s="19">
        <f t="shared" si="114"/>
        <v>0</v>
      </c>
      <c r="DD668" s="19">
        <f t="shared" si="115"/>
        <v>0</v>
      </c>
      <c r="DE668" s="19">
        <f t="shared" si="116"/>
        <v>0</v>
      </c>
      <c r="DF668" s="19">
        <f t="shared" si="117"/>
        <v>0</v>
      </c>
      <c r="DG668" s="19">
        <f t="shared" si="118"/>
        <v>0</v>
      </c>
      <c r="DH668" s="20">
        <f t="shared" si="119"/>
        <v>0</v>
      </c>
      <c r="DI668" s="20">
        <f t="shared" si="120"/>
        <v>0</v>
      </c>
    </row>
    <row r="669" spans="80:113" x14ac:dyDescent="0.3">
      <c r="CB669" s="18"/>
      <c r="CC669" s="19"/>
      <c r="CD669" s="19"/>
      <c r="CE669" s="19"/>
      <c r="CF669" s="19"/>
      <c r="CG669" s="19"/>
      <c r="CH669" s="19"/>
      <c r="CI669" s="18"/>
      <c r="CJ669" s="18"/>
      <c r="CN669" s="18"/>
      <c r="CO669" s="19"/>
      <c r="CP669" s="19"/>
      <c r="CQ669" s="19"/>
      <c r="CR669" s="19"/>
      <c r="CS669" s="19"/>
      <c r="CT669" s="19"/>
      <c r="CU669" s="20"/>
      <c r="CV669" s="20"/>
      <c r="DA669" s="18">
        <f t="shared" si="112"/>
        <v>0</v>
      </c>
      <c r="DB669" s="19">
        <f t="shared" si="113"/>
        <v>0</v>
      </c>
      <c r="DC669" s="19">
        <f t="shared" si="114"/>
        <v>0</v>
      </c>
      <c r="DD669" s="19">
        <f t="shared" si="115"/>
        <v>0</v>
      </c>
      <c r="DE669" s="19">
        <f t="shared" si="116"/>
        <v>0</v>
      </c>
      <c r="DF669" s="19">
        <f t="shared" si="117"/>
        <v>0</v>
      </c>
      <c r="DG669" s="19">
        <f t="shared" si="118"/>
        <v>0</v>
      </c>
      <c r="DH669" s="20">
        <f t="shared" si="119"/>
        <v>0</v>
      </c>
      <c r="DI669" s="20">
        <f t="shared" si="120"/>
        <v>0</v>
      </c>
    </row>
    <row r="670" spans="80:113" x14ac:dyDescent="0.3">
      <c r="CB670" s="18"/>
      <c r="CC670" s="19"/>
      <c r="CD670" s="19"/>
      <c r="CE670" s="19"/>
      <c r="CF670" s="19"/>
      <c r="CG670" s="19"/>
      <c r="CH670" s="19"/>
      <c r="CI670" s="18"/>
      <c r="CJ670" s="18"/>
      <c r="CN670" s="18"/>
      <c r="CO670" s="19"/>
      <c r="CP670" s="19"/>
      <c r="CQ670" s="19"/>
      <c r="CR670" s="19"/>
      <c r="CS670" s="19"/>
      <c r="CT670" s="19"/>
      <c r="CU670" s="20"/>
      <c r="CV670" s="20"/>
      <c r="DA670" s="18">
        <f t="shared" si="112"/>
        <v>0</v>
      </c>
      <c r="DB670" s="19">
        <f t="shared" si="113"/>
        <v>0</v>
      </c>
      <c r="DC670" s="19">
        <f t="shared" si="114"/>
        <v>0</v>
      </c>
      <c r="DD670" s="19">
        <f t="shared" si="115"/>
        <v>0</v>
      </c>
      <c r="DE670" s="19">
        <f t="shared" si="116"/>
        <v>0</v>
      </c>
      <c r="DF670" s="19">
        <f t="shared" si="117"/>
        <v>0</v>
      </c>
      <c r="DG670" s="19">
        <f t="shared" si="118"/>
        <v>0</v>
      </c>
      <c r="DH670" s="20">
        <f t="shared" si="119"/>
        <v>0</v>
      </c>
      <c r="DI670" s="20">
        <f t="shared" si="120"/>
        <v>0</v>
      </c>
    </row>
    <row r="671" spans="80:113" x14ac:dyDescent="0.3">
      <c r="CB671" s="18"/>
      <c r="CC671" s="19"/>
      <c r="CD671" s="19"/>
      <c r="CE671" s="19"/>
      <c r="CF671" s="19"/>
      <c r="CG671" s="19"/>
      <c r="CH671" s="19"/>
      <c r="CI671" s="18"/>
      <c r="CJ671" s="18"/>
      <c r="CN671" s="18"/>
      <c r="CO671" s="19"/>
      <c r="CP671" s="19"/>
      <c r="CQ671" s="19"/>
      <c r="CR671" s="19"/>
      <c r="CS671" s="19"/>
      <c r="CT671" s="19"/>
      <c r="CU671" s="20"/>
      <c r="CV671" s="20"/>
      <c r="DA671" s="18">
        <f t="shared" si="112"/>
        <v>0</v>
      </c>
      <c r="DB671" s="19">
        <f t="shared" si="113"/>
        <v>0</v>
      </c>
      <c r="DC671" s="19">
        <f t="shared" si="114"/>
        <v>0</v>
      </c>
      <c r="DD671" s="19">
        <f t="shared" si="115"/>
        <v>0</v>
      </c>
      <c r="DE671" s="19">
        <f t="shared" si="116"/>
        <v>0</v>
      </c>
      <c r="DF671" s="19">
        <f t="shared" si="117"/>
        <v>0</v>
      </c>
      <c r="DG671" s="19">
        <f t="shared" si="118"/>
        <v>0</v>
      </c>
      <c r="DH671" s="20">
        <f t="shared" si="119"/>
        <v>0</v>
      </c>
      <c r="DI671" s="20">
        <f t="shared" si="120"/>
        <v>0</v>
      </c>
    </row>
    <row r="672" spans="80:113" x14ac:dyDescent="0.3">
      <c r="CB672" s="18"/>
      <c r="CC672" s="19"/>
      <c r="CD672" s="19"/>
      <c r="CE672" s="19"/>
      <c r="CF672" s="19"/>
      <c r="CG672" s="19"/>
      <c r="CH672" s="19"/>
      <c r="CI672" s="18"/>
      <c r="CJ672" s="18"/>
      <c r="CN672" s="18"/>
      <c r="CO672" s="19"/>
      <c r="CP672" s="19"/>
      <c r="CQ672" s="19"/>
      <c r="CR672" s="19"/>
      <c r="CS672" s="19"/>
      <c r="CT672" s="19"/>
      <c r="CU672" s="20"/>
      <c r="CV672" s="20"/>
      <c r="DA672" s="18">
        <f t="shared" si="112"/>
        <v>0</v>
      </c>
      <c r="DB672" s="19">
        <f t="shared" si="113"/>
        <v>0</v>
      </c>
      <c r="DC672" s="19">
        <f t="shared" si="114"/>
        <v>0</v>
      </c>
      <c r="DD672" s="19">
        <f t="shared" si="115"/>
        <v>0</v>
      </c>
      <c r="DE672" s="19">
        <f t="shared" si="116"/>
        <v>0</v>
      </c>
      <c r="DF672" s="19">
        <f t="shared" si="117"/>
        <v>0</v>
      </c>
      <c r="DG672" s="19">
        <f t="shared" si="118"/>
        <v>0</v>
      </c>
      <c r="DH672" s="20">
        <f t="shared" si="119"/>
        <v>0</v>
      </c>
      <c r="DI672" s="20">
        <f t="shared" si="120"/>
        <v>0</v>
      </c>
    </row>
    <row r="673" spans="80:113" x14ac:dyDescent="0.3">
      <c r="CB673" s="18"/>
      <c r="CC673" s="19"/>
      <c r="CD673" s="19"/>
      <c r="CE673" s="19"/>
      <c r="CF673" s="19"/>
      <c r="CG673" s="19"/>
      <c r="CH673" s="19"/>
      <c r="CI673" s="18"/>
      <c r="CJ673" s="18"/>
      <c r="CN673" s="18"/>
      <c r="CO673" s="19"/>
      <c r="CP673" s="19"/>
      <c r="CQ673" s="19"/>
      <c r="CR673" s="19"/>
      <c r="CS673" s="19"/>
      <c r="CT673" s="19"/>
      <c r="CU673" s="20"/>
      <c r="CV673" s="20"/>
      <c r="DA673" s="18">
        <f t="shared" si="112"/>
        <v>0</v>
      </c>
      <c r="DB673" s="19">
        <f t="shared" si="113"/>
        <v>0</v>
      </c>
      <c r="DC673" s="19">
        <f t="shared" si="114"/>
        <v>0</v>
      </c>
      <c r="DD673" s="19">
        <f t="shared" si="115"/>
        <v>0</v>
      </c>
      <c r="DE673" s="19">
        <f t="shared" si="116"/>
        <v>0</v>
      </c>
      <c r="DF673" s="19">
        <f t="shared" si="117"/>
        <v>0</v>
      </c>
      <c r="DG673" s="19">
        <f t="shared" si="118"/>
        <v>0</v>
      </c>
      <c r="DH673" s="20">
        <f t="shared" si="119"/>
        <v>0</v>
      </c>
      <c r="DI673" s="20">
        <f t="shared" si="120"/>
        <v>0</v>
      </c>
    </row>
    <row r="674" spans="80:113" x14ac:dyDescent="0.3">
      <c r="CB674" s="18"/>
      <c r="CC674" s="19"/>
      <c r="CD674" s="19"/>
      <c r="CE674" s="19"/>
      <c r="CF674" s="19"/>
      <c r="CG674" s="19"/>
      <c r="CH674" s="19"/>
      <c r="CI674" s="18"/>
      <c r="CJ674" s="18"/>
      <c r="CN674" s="18"/>
      <c r="CO674" s="19"/>
      <c r="CP674" s="19"/>
      <c r="CQ674" s="19"/>
      <c r="CR674" s="19"/>
      <c r="CS674" s="19"/>
      <c r="CT674" s="19"/>
      <c r="CU674" s="20"/>
      <c r="CV674" s="20"/>
      <c r="DA674" s="18">
        <f t="shared" si="112"/>
        <v>0</v>
      </c>
      <c r="DB674" s="19">
        <f t="shared" si="113"/>
        <v>0</v>
      </c>
      <c r="DC674" s="19">
        <f t="shared" si="114"/>
        <v>0</v>
      </c>
      <c r="DD674" s="19">
        <f t="shared" si="115"/>
        <v>0</v>
      </c>
      <c r="DE674" s="19">
        <f t="shared" si="116"/>
        <v>0</v>
      </c>
      <c r="DF674" s="19">
        <f t="shared" si="117"/>
        <v>0</v>
      </c>
      <c r="DG674" s="19">
        <f t="shared" si="118"/>
        <v>0</v>
      </c>
      <c r="DH674" s="20">
        <f t="shared" si="119"/>
        <v>0</v>
      </c>
      <c r="DI674" s="20">
        <f t="shared" si="120"/>
        <v>0</v>
      </c>
    </row>
    <row r="675" spans="80:113" x14ac:dyDescent="0.3">
      <c r="CB675" s="18"/>
      <c r="CC675" s="19"/>
      <c r="CD675" s="19"/>
      <c r="CE675" s="19"/>
      <c r="CF675" s="19"/>
      <c r="CG675" s="19"/>
      <c r="CH675" s="19"/>
      <c r="CI675" s="18"/>
      <c r="CJ675" s="18"/>
      <c r="CN675" s="18"/>
      <c r="CO675" s="19"/>
      <c r="CP675" s="19"/>
      <c r="CQ675" s="19"/>
      <c r="CR675" s="19"/>
      <c r="CS675" s="19"/>
      <c r="CT675" s="19"/>
      <c r="CU675" s="20"/>
      <c r="CV675" s="20"/>
      <c r="DA675" s="18">
        <f t="shared" si="112"/>
        <v>0</v>
      </c>
      <c r="DB675" s="19">
        <f t="shared" si="113"/>
        <v>0</v>
      </c>
      <c r="DC675" s="19">
        <f t="shared" si="114"/>
        <v>0</v>
      </c>
      <c r="DD675" s="19">
        <f t="shared" si="115"/>
        <v>0</v>
      </c>
      <c r="DE675" s="19">
        <f t="shared" si="116"/>
        <v>0</v>
      </c>
      <c r="DF675" s="19">
        <f t="shared" si="117"/>
        <v>0</v>
      </c>
      <c r="DG675" s="19">
        <f t="shared" si="118"/>
        <v>0</v>
      </c>
      <c r="DH675" s="20">
        <f t="shared" si="119"/>
        <v>0</v>
      </c>
      <c r="DI675" s="20">
        <f t="shared" si="120"/>
        <v>0</v>
      </c>
    </row>
    <row r="676" spans="80:113" x14ac:dyDescent="0.3">
      <c r="CB676" s="18"/>
      <c r="CC676" s="19"/>
      <c r="CD676" s="19"/>
      <c r="CE676" s="19"/>
      <c r="CF676" s="19"/>
      <c r="CG676" s="19"/>
      <c r="CH676" s="19"/>
      <c r="CI676" s="18"/>
      <c r="CJ676" s="18"/>
      <c r="CN676" s="18"/>
      <c r="CO676" s="19"/>
      <c r="CP676" s="19"/>
      <c r="CQ676" s="19"/>
      <c r="CR676" s="19"/>
      <c r="CS676" s="19"/>
      <c r="CT676" s="19"/>
      <c r="CU676" s="20"/>
      <c r="CV676" s="20"/>
      <c r="DA676" s="18">
        <f t="shared" si="112"/>
        <v>0</v>
      </c>
      <c r="DB676" s="19">
        <f t="shared" si="113"/>
        <v>0</v>
      </c>
      <c r="DC676" s="19">
        <f t="shared" si="114"/>
        <v>0</v>
      </c>
      <c r="DD676" s="19">
        <f t="shared" si="115"/>
        <v>0</v>
      </c>
      <c r="DE676" s="19">
        <f t="shared" si="116"/>
        <v>0</v>
      </c>
      <c r="DF676" s="19">
        <f t="shared" si="117"/>
        <v>0</v>
      </c>
      <c r="DG676" s="19">
        <f t="shared" si="118"/>
        <v>0</v>
      </c>
      <c r="DH676" s="20">
        <f t="shared" si="119"/>
        <v>0</v>
      </c>
      <c r="DI676" s="20">
        <f t="shared" si="120"/>
        <v>0</v>
      </c>
    </row>
    <row r="677" spans="80:113" x14ac:dyDescent="0.3">
      <c r="CB677" s="18"/>
      <c r="CC677" s="19"/>
      <c r="CD677" s="19"/>
      <c r="CE677" s="19"/>
      <c r="CF677" s="19"/>
      <c r="CG677" s="19"/>
      <c r="CH677" s="19"/>
      <c r="CI677" s="18"/>
      <c r="CJ677" s="18"/>
      <c r="CN677" s="18"/>
      <c r="CO677" s="19"/>
      <c r="CP677" s="19"/>
      <c r="CQ677" s="19"/>
      <c r="CR677" s="19"/>
      <c r="CS677" s="19"/>
      <c r="CT677" s="19"/>
      <c r="CU677" s="20"/>
      <c r="CV677" s="20"/>
      <c r="DA677" s="18">
        <f t="shared" si="112"/>
        <v>0</v>
      </c>
      <c r="DB677" s="19">
        <f t="shared" si="113"/>
        <v>0</v>
      </c>
      <c r="DC677" s="19">
        <f t="shared" si="114"/>
        <v>0</v>
      </c>
      <c r="DD677" s="19">
        <f t="shared" si="115"/>
        <v>0</v>
      </c>
      <c r="DE677" s="19">
        <f t="shared" si="116"/>
        <v>0</v>
      </c>
      <c r="DF677" s="19">
        <f t="shared" si="117"/>
        <v>0</v>
      </c>
      <c r="DG677" s="19">
        <f t="shared" si="118"/>
        <v>0</v>
      </c>
      <c r="DH677" s="20">
        <f t="shared" si="119"/>
        <v>0</v>
      </c>
      <c r="DI677" s="20">
        <f t="shared" si="120"/>
        <v>0</v>
      </c>
    </row>
    <row r="678" spans="80:113" x14ac:dyDescent="0.3">
      <c r="CB678" s="18"/>
      <c r="CC678" s="19"/>
      <c r="CD678" s="19"/>
      <c r="CE678" s="19"/>
      <c r="CF678" s="19"/>
      <c r="CG678" s="19"/>
      <c r="CH678" s="19"/>
      <c r="CI678" s="18"/>
      <c r="CJ678" s="18"/>
      <c r="CN678" s="18"/>
      <c r="CO678" s="19"/>
      <c r="CP678" s="19"/>
      <c r="CQ678" s="19"/>
      <c r="CR678" s="19"/>
      <c r="CS678" s="19"/>
      <c r="CT678" s="19"/>
      <c r="CU678" s="20"/>
      <c r="CV678" s="20"/>
      <c r="DA678" s="18">
        <f t="shared" si="112"/>
        <v>0</v>
      </c>
      <c r="DB678" s="19">
        <f t="shared" si="113"/>
        <v>0</v>
      </c>
      <c r="DC678" s="19">
        <f t="shared" si="114"/>
        <v>0</v>
      </c>
      <c r="DD678" s="19">
        <f t="shared" si="115"/>
        <v>0</v>
      </c>
      <c r="DE678" s="19">
        <f t="shared" si="116"/>
        <v>0</v>
      </c>
      <c r="DF678" s="19">
        <f t="shared" si="117"/>
        <v>0</v>
      </c>
      <c r="DG678" s="19">
        <f t="shared" si="118"/>
        <v>0</v>
      </c>
      <c r="DH678" s="20">
        <f t="shared" si="119"/>
        <v>0</v>
      </c>
      <c r="DI678" s="20">
        <f t="shared" si="120"/>
        <v>0</v>
      </c>
    </row>
    <row r="679" spans="80:113" x14ac:dyDescent="0.3">
      <c r="CB679" s="18"/>
      <c r="CC679" s="19"/>
      <c r="CD679" s="19"/>
      <c r="CE679" s="19"/>
      <c r="CF679" s="19"/>
      <c r="CG679" s="19"/>
      <c r="CH679" s="19"/>
      <c r="CI679" s="18"/>
      <c r="CJ679" s="18"/>
      <c r="CN679" s="18"/>
      <c r="CO679" s="19"/>
      <c r="CP679" s="19"/>
      <c r="CQ679" s="19"/>
      <c r="CR679" s="19"/>
      <c r="CS679" s="19"/>
      <c r="CT679" s="19"/>
      <c r="CU679" s="20"/>
      <c r="CV679" s="20"/>
      <c r="DA679" s="18">
        <f t="shared" si="112"/>
        <v>0</v>
      </c>
      <c r="DB679" s="19">
        <f t="shared" si="113"/>
        <v>0</v>
      </c>
      <c r="DC679" s="19">
        <f t="shared" si="114"/>
        <v>0</v>
      </c>
      <c r="DD679" s="19">
        <f t="shared" si="115"/>
        <v>0</v>
      </c>
      <c r="DE679" s="19">
        <f t="shared" si="116"/>
        <v>0</v>
      </c>
      <c r="DF679" s="19">
        <f t="shared" si="117"/>
        <v>0</v>
      </c>
      <c r="DG679" s="19">
        <f t="shared" si="118"/>
        <v>0</v>
      </c>
      <c r="DH679" s="20">
        <f t="shared" si="119"/>
        <v>0</v>
      </c>
      <c r="DI679" s="20">
        <f t="shared" si="120"/>
        <v>0</v>
      </c>
    </row>
    <row r="680" spans="80:113" x14ac:dyDescent="0.3">
      <c r="CB680" s="18"/>
      <c r="CC680" s="19"/>
      <c r="CD680" s="19"/>
      <c r="CE680" s="19"/>
      <c r="CF680" s="19"/>
      <c r="CG680" s="19"/>
      <c r="CH680" s="19"/>
      <c r="CI680" s="18"/>
      <c r="CJ680" s="18"/>
      <c r="CN680" s="18"/>
      <c r="CO680" s="19"/>
      <c r="CP680" s="19"/>
      <c r="CQ680" s="19"/>
      <c r="CR680" s="19"/>
      <c r="CS680" s="19"/>
      <c r="CT680" s="19"/>
      <c r="CU680" s="20"/>
      <c r="CV680" s="20"/>
      <c r="DA680" s="18">
        <f t="shared" si="112"/>
        <v>0</v>
      </c>
      <c r="DB680" s="19">
        <f t="shared" si="113"/>
        <v>0</v>
      </c>
      <c r="DC680" s="19">
        <f t="shared" si="114"/>
        <v>0</v>
      </c>
      <c r="DD680" s="19">
        <f t="shared" si="115"/>
        <v>0</v>
      </c>
      <c r="DE680" s="19">
        <f t="shared" si="116"/>
        <v>0</v>
      </c>
      <c r="DF680" s="19">
        <f t="shared" si="117"/>
        <v>0</v>
      </c>
      <c r="DG680" s="19">
        <f t="shared" si="118"/>
        <v>0</v>
      </c>
      <c r="DH680" s="20">
        <f t="shared" si="119"/>
        <v>0</v>
      </c>
      <c r="DI680" s="20">
        <f t="shared" si="120"/>
        <v>0</v>
      </c>
    </row>
    <row r="681" spans="80:113" x14ac:dyDescent="0.3">
      <c r="CB681" s="18"/>
      <c r="CC681" s="19"/>
      <c r="CD681" s="19"/>
      <c r="CE681" s="19"/>
      <c r="CF681" s="19"/>
      <c r="CG681" s="19"/>
      <c r="CH681" s="19"/>
      <c r="CI681" s="18"/>
      <c r="CJ681" s="18"/>
      <c r="CN681" s="18"/>
      <c r="CO681" s="19"/>
      <c r="CP681" s="19"/>
      <c r="CQ681" s="19"/>
      <c r="CR681" s="19"/>
      <c r="CS681" s="19"/>
      <c r="CT681" s="19"/>
      <c r="CU681" s="20"/>
      <c r="CV681" s="20"/>
      <c r="DA681" s="18">
        <f t="shared" si="112"/>
        <v>0</v>
      </c>
      <c r="DB681" s="19">
        <f t="shared" si="113"/>
        <v>0</v>
      </c>
      <c r="DC681" s="19">
        <f t="shared" si="114"/>
        <v>0</v>
      </c>
      <c r="DD681" s="19">
        <f t="shared" si="115"/>
        <v>0</v>
      </c>
      <c r="DE681" s="19">
        <f t="shared" si="116"/>
        <v>0</v>
      </c>
      <c r="DF681" s="19">
        <f t="shared" si="117"/>
        <v>0</v>
      </c>
      <c r="DG681" s="19">
        <f t="shared" si="118"/>
        <v>0</v>
      </c>
      <c r="DH681" s="20">
        <f t="shared" si="119"/>
        <v>0</v>
      </c>
      <c r="DI681" s="20">
        <f t="shared" si="120"/>
        <v>0</v>
      </c>
    </row>
    <row r="682" spans="80:113" x14ac:dyDescent="0.3">
      <c r="CB682" s="18"/>
      <c r="CC682" s="19"/>
      <c r="CD682" s="19"/>
      <c r="CE682" s="19"/>
      <c r="CF682" s="19"/>
      <c r="CG682" s="19"/>
      <c r="CH682" s="19"/>
      <c r="CI682" s="18"/>
      <c r="CJ682" s="18"/>
      <c r="CN682" s="18"/>
      <c r="CO682" s="19"/>
      <c r="CP682" s="19"/>
      <c r="CQ682" s="19"/>
      <c r="CR682" s="19"/>
      <c r="CS682" s="19"/>
      <c r="CT682" s="19"/>
      <c r="CU682" s="20"/>
      <c r="CV682" s="20"/>
      <c r="DA682" s="18">
        <f t="shared" si="112"/>
        <v>0</v>
      </c>
      <c r="DB682" s="19">
        <f t="shared" si="113"/>
        <v>0</v>
      </c>
      <c r="DC682" s="19">
        <f t="shared" si="114"/>
        <v>0</v>
      </c>
      <c r="DD682" s="19">
        <f t="shared" si="115"/>
        <v>0</v>
      </c>
      <c r="DE682" s="19">
        <f t="shared" si="116"/>
        <v>0</v>
      </c>
      <c r="DF682" s="19">
        <f t="shared" si="117"/>
        <v>0</v>
      </c>
      <c r="DG682" s="19">
        <f t="shared" si="118"/>
        <v>0</v>
      </c>
      <c r="DH682" s="20">
        <f t="shared" si="119"/>
        <v>0</v>
      </c>
      <c r="DI682" s="20">
        <f t="shared" si="120"/>
        <v>0</v>
      </c>
    </row>
    <row r="683" spans="80:113" x14ac:dyDescent="0.3">
      <c r="CB683" s="18"/>
      <c r="CC683" s="19"/>
      <c r="CD683" s="19"/>
      <c r="CE683" s="19"/>
      <c r="CF683" s="19"/>
      <c r="CG683" s="19"/>
      <c r="CH683" s="19"/>
      <c r="CI683" s="18"/>
      <c r="CJ683" s="18"/>
      <c r="CN683" s="18"/>
      <c r="CO683" s="19"/>
      <c r="CP683" s="19"/>
      <c r="CQ683" s="19"/>
      <c r="CR683" s="19"/>
      <c r="CS683" s="19"/>
      <c r="CT683" s="19"/>
      <c r="CU683" s="20"/>
      <c r="CV683" s="20"/>
      <c r="DA683" s="18">
        <f t="shared" si="112"/>
        <v>0</v>
      </c>
      <c r="DB683" s="19">
        <f t="shared" si="113"/>
        <v>0</v>
      </c>
      <c r="DC683" s="19">
        <f t="shared" si="114"/>
        <v>0</v>
      </c>
      <c r="DD683" s="19">
        <f t="shared" si="115"/>
        <v>0</v>
      </c>
      <c r="DE683" s="19">
        <f t="shared" si="116"/>
        <v>0</v>
      </c>
      <c r="DF683" s="19">
        <f t="shared" si="117"/>
        <v>0</v>
      </c>
      <c r="DG683" s="19">
        <f t="shared" si="118"/>
        <v>0</v>
      </c>
      <c r="DH683" s="20">
        <f t="shared" si="119"/>
        <v>0</v>
      </c>
      <c r="DI683" s="20">
        <f t="shared" si="120"/>
        <v>0</v>
      </c>
    </row>
    <row r="684" spans="80:113" x14ac:dyDescent="0.3">
      <c r="CB684" s="18"/>
      <c r="CC684" s="19"/>
      <c r="CD684" s="19"/>
      <c r="CE684" s="19"/>
      <c r="CF684" s="19"/>
      <c r="CG684" s="19"/>
      <c r="CH684" s="19"/>
      <c r="CI684" s="18"/>
      <c r="CJ684" s="18"/>
      <c r="CN684" s="18"/>
      <c r="CO684" s="19"/>
      <c r="CP684" s="19"/>
      <c r="CQ684" s="19"/>
      <c r="CR684" s="19"/>
      <c r="CS684" s="19"/>
      <c r="CT684" s="19"/>
      <c r="CU684" s="20"/>
      <c r="CV684" s="20"/>
      <c r="DA684" s="18">
        <f t="shared" si="112"/>
        <v>0</v>
      </c>
      <c r="DB684" s="19">
        <f t="shared" si="113"/>
        <v>0</v>
      </c>
      <c r="DC684" s="19">
        <f t="shared" si="114"/>
        <v>0</v>
      </c>
      <c r="DD684" s="19">
        <f t="shared" si="115"/>
        <v>0</v>
      </c>
      <c r="DE684" s="19">
        <f t="shared" si="116"/>
        <v>0</v>
      </c>
      <c r="DF684" s="19">
        <f t="shared" si="117"/>
        <v>0</v>
      </c>
      <c r="DG684" s="19">
        <f t="shared" si="118"/>
        <v>0</v>
      </c>
      <c r="DH684" s="20">
        <f t="shared" si="119"/>
        <v>0</v>
      </c>
      <c r="DI684" s="20">
        <f t="shared" si="120"/>
        <v>0</v>
      </c>
    </row>
    <row r="685" spans="80:113" x14ac:dyDescent="0.3">
      <c r="CB685" s="18"/>
      <c r="CC685" s="19"/>
      <c r="CD685" s="19"/>
      <c r="CE685" s="19"/>
      <c r="CF685" s="19"/>
      <c r="CG685" s="19"/>
      <c r="CH685" s="19"/>
      <c r="CI685" s="18"/>
      <c r="CJ685" s="18"/>
      <c r="CN685" s="18"/>
      <c r="CO685" s="19"/>
      <c r="CP685" s="19"/>
      <c r="CQ685" s="19"/>
      <c r="CR685" s="19"/>
      <c r="CS685" s="19"/>
      <c r="CT685" s="19"/>
      <c r="CU685" s="20"/>
      <c r="CV685" s="20"/>
      <c r="DA685" s="18">
        <f t="shared" si="112"/>
        <v>0</v>
      </c>
      <c r="DB685" s="19">
        <f t="shared" si="113"/>
        <v>0</v>
      </c>
      <c r="DC685" s="19">
        <f t="shared" si="114"/>
        <v>0</v>
      </c>
      <c r="DD685" s="19">
        <f t="shared" si="115"/>
        <v>0</v>
      </c>
      <c r="DE685" s="19">
        <f t="shared" si="116"/>
        <v>0</v>
      </c>
      <c r="DF685" s="19">
        <f t="shared" si="117"/>
        <v>0</v>
      </c>
      <c r="DG685" s="19">
        <f t="shared" si="118"/>
        <v>0</v>
      </c>
      <c r="DH685" s="20">
        <f t="shared" si="119"/>
        <v>0</v>
      </c>
      <c r="DI685" s="20">
        <f t="shared" si="120"/>
        <v>0</v>
      </c>
    </row>
    <row r="686" spans="80:113" x14ac:dyDescent="0.3">
      <c r="CB686" s="18"/>
      <c r="CC686" s="19"/>
      <c r="CD686" s="19"/>
      <c r="CE686" s="19"/>
      <c r="CF686" s="19"/>
      <c r="CG686" s="19"/>
      <c r="CH686" s="19"/>
      <c r="CI686" s="18"/>
      <c r="CJ686" s="18"/>
      <c r="CN686" s="18"/>
      <c r="CO686" s="19"/>
      <c r="CP686" s="19"/>
      <c r="CQ686" s="19"/>
      <c r="CR686" s="19"/>
      <c r="CS686" s="19"/>
      <c r="CT686" s="19"/>
      <c r="CU686" s="20"/>
      <c r="CV686" s="20"/>
      <c r="DA686" s="18">
        <f t="shared" si="112"/>
        <v>0</v>
      </c>
      <c r="DB686" s="19">
        <f t="shared" si="113"/>
        <v>0</v>
      </c>
      <c r="DC686" s="19">
        <f t="shared" si="114"/>
        <v>0</v>
      </c>
      <c r="DD686" s="19">
        <f t="shared" si="115"/>
        <v>0</v>
      </c>
      <c r="DE686" s="19">
        <f t="shared" si="116"/>
        <v>0</v>
      </c>
      <c r="DF686" s="19">
        <f t="shared" si="117"/>
        <v>0</v>
      </c>
      <c r="DG686" s="19">
        <f t="shared" si="118"/>
        <v>0</v>
      </c>
      <c r="DH686" s="20">
        <f t="shared" si="119"/>
        <v>0</v>
      </c>
      <c r="DI686" s="20">
        <f t="shared" si="120"/>
        <v>0</v>
      </c>
    </row>
    <row r="687" spans="80:113" x14ac:dyDescent="0.3">
      <c r="CB687" s="18"/>
      <c r="CC687" s="19"/>
      <c r="CD687" s="19"/>
      <c r="CE687" s="19"/>
      <c r="CF687" s="19"/>
      <c r="CG687" s="19"/>
      <c r="CH687" s="19"/>
      <c r="CI687" s="18"/>
      <c r="CJ687" s="18"/>
      <c r="CN687" s="18"/>
      <c r="CO687" s="19"/>
      <c r="CP687" s="19"/>
      <c r="CQ687" s="19"/>
      <c r="CR687" s="19"/>
      <c r="CS687" s="19"/>
      <c r="CT687" s="19"/>
      <c r="CU687" s="20"/>
      <c r="CV687" s="20"/>
      <c r="DA687" s="18">
        <f t="shared" si="112"/>
        <v>0</v>
      </c>
      <c r="DB687" s="19">
        <f t="shared" si="113"/>
        <v>0</v>
      </c>
      <c r="DC687" s="19">
        <f t="shared" si="114"/>
        <v>0</v>
      </c>
      <c r="DD687" s="19">
        <f t="shared" si="115"/>
        <v>0</v>
      </c>
      <c r="DE687" s="19">
        <f t="shared" si="116"/>
        <v>0</v>
      </c>
      <c r="DF687" s="19">
        <f t="shared" si="117"/>
        <v>0</v>
      </c>
      <c r="DG687" s="19">
        <f t="shared" si="118"/>
        <v>0</v>
      </c>
      <c r="DH687" s="20">
        <f t="shared" si="119"/>
        <v>0</v>
      </c>
      <c r="DI687" s="20">
        <f t="shared" si="120"/>
        <v>0</v>
      </c>
    </row>
    <row r="688" spans="80:113" x14ac:dyDescent="0.3">
      <c r="CB688" s="18"/>
      <c r="CC688" s="19"/>
      <c r="CD688" s="19"/>
      <c r="CE688" s="19"/>
      <c r="CF688" s="19"/>
      <c r="CG688" s="19"/>
      <c r="CH688" s="19"/>
      <c r="CI688" s="18"/>
      <c r="CJ688" s="18"/>
      <c r="CN688" s="18"/>
      <c r="CO688" s="19"/>
      <c r="CP688" s="19"/>
      <c r="CQ688" s="19"/>
      <c r="CR688" s="19"/>
      <c r="CS688" s="19"/>
      <c r="CT688" s="19"/>
      <c r="CU688" s="20"/>
      <c r="CV688" s="20"/>
      <c r="DA688" s="18">
        <f t="shared" si="112"/>
        <v>0</v>
      </c>
      <c r="DB688" s="19">
        <f t="shared" si="113"/>
        <v>0</v>
      </c>
      <c r="DC688" s="19">
        <f t="shared" si="114"/>
        <v>0</v>
      </c>
      <c r="DD688" s="19">
        <f t="shared" si="115"/>
        <v>0</v>
      </c>
      <c r="DE688" s="19">
        <f t="shared" si="116"/>
        <v>0</v>
      </c>
      <c r="DF688" s="19">
        <f t="shared" si="117"/>
        <v>0</v>
      </c>
      <c r="DG688" s="19">
        <f t="shared" si="118"/>
        <v>0</v>
      </c>
      <c r="DH688" s="20">
        <f t="shared" si="119"/>
        <v>0</v>
      </c>
      <c r="DI688" s="20">
        <f t="shared" si="120"/>
        <v>0</v>
      </c>
    </row>
    <row r="689" spans="80:113" x14ac:dyDescent="0.3">
      <c r="CB689" s="18"/>
      <c r="CC689" s="19"/>
      <c r="CD689" s="19"/>
      <c r="CE689" s="19"/>
      <c r="CF689" s="19"/>
      <c r="CG689" s="19"/>
      <c r="CH689" s="19"/>
      <c r="CI689" s="18"/>
      <c r="CJ689" s="18"/>
      <c r="CN689" s="18"/>
      <c r="CO689" s="19"/>
      <c r="CP689" s="19"/>
      <c r="CQ689" s="19"/>
      <c r="CR689" s="19"/>
      <c r="CS689" s="19"/>
      <c r="CT689" s="19"/>
      <c r="CU689" s="20"/>
      <c r="CV689" s="20"/>
      <c r="DA689" s="18">
        <f t="shared" si="112"/>
        <v>0</v>
      </c>
      <c r="DB689" s="19">
        <f t="shared" si="113"/>
        <v>0</v>
      </c>
      <c r="DC689" s="19">
        <f t="shared" si="114"/>
        <v>0</v>
      </c>
      <c r="DD689" s="19">
        <f t="shared" si="115"/>
        <v>0</v>
      </c>
      <c r="DE689" s="19">
        <f t="shared" si="116"/>
        <v>0</v>
      </c>
      <c r="DF689" s="19">
        <f t="shared" si="117"/>
        <v>0</v>
      </c>
      <c r="DG689" s="19">
        <f t="shared" si="118"/>
        <v>0</v>
      </c>
      <c r="DH689" s="20">
        <f t="shared" si="119"/>
        <v>0</v>
      </c>
      <c r="DI689" s="20">
        <f t="shared" si="120"/>
        <v>0</v>
      </c>
    </row>
    <row r="690" spans="80:113" x14ac:dyDescent="0.3">
      <c r="CB690" s="18"/>
      <c r="CC690" s="19"/>
      <c r="CD690" s="19"/>
      <c r="CE690" s="19"/>
      <c r="CF690" s="19"/>
      <c r="CG690" s="19"/>
      <c r="CH690" s="19"/>
      <c r="CI690" s="18"/>
      <c r="CJ690" s="18"/>
      <c r="CN690" s="18"/>
      <c r="CO690" s="19"/>
      <c r="CP690" s="19"/>
      <c r="CQ690" s="19"/>
      <c r="CR690" s="19"/>
      <c r="CS690" s="19"/>
      <c r="CT690" s="19"/>
      <c r="CU690" s="20"/>
      <c r="CV690" s="20"/>
      <c r="DA690" s="18">
        <f t="shared" si="112"/>
        <v>0</v>
      </c>
      <c r="DB690" s="19">
        <f t="shared" si="113"/>
        <v>0</v>
      </c>
      <c r="DC690" s="19">
        <f t="shared" si="114"/>
        <v>0</v>
      </c>
      <c r="DD690" s="19">
        <f t="shared" si="115"/>
        <v>0</v>
      </c>
      <c r="DE690" s="19">
        <f t="shared" si="116"/>
        <v>0</v>
      </c>
      <c r="DF690" s="19">
        <f t="shared" si="117"/>
        <v>0</v>
      </c>
      <c r="DG690" s="19">
        <f t="shared" si="118"/>
        <v>0</v>
      </c>
      <c r="DH690" s="20">
        <f t="shared" si="119"/>
        <v>0</v>
      </c>
      <c r="DI690" s="20">
        <f t="shared" si="120"/>
        <v>0</v>
      </c>
    </row>
    <row r="691" spans="80:113" x14ac:dyDescent="0.3">
      <c r="CB691" s="18"/>
      <c r="CC691" s="19"/>
      <c r="CD691" s="19"/>
      <c r="CE691" s="19"/>
      <c r="CF691" s="19"/>
      <c r="CG691" s="19"/>
      <c r="CH691" s="19"/>
      <c r="CI691" s="18"/>
      <c r="CJ691" s="18"/>
      <c r="CN691" s="18"/>
      <c r="CO691" s="19"/>
      <c r="CP691" s="19"/>
      <c r="CQ691" s="19"/>
      <c r="CR691" s="19"/>
      <c r="CS691" s="19"/>
      <c r="CT691" s="19"/>
      <c r="CU691" s="20"/>
      <c r="CV691" s="20"/>
      <c r="DA691" s="18">
        <f t="shared" si="112"/>
        <v>0</v>
      </c>
      <c r="DB691" s="19">
        <f t="shared" si="113"/>
        <v>0</v>
      </c>
      <c r="DC691" s="19">
        <f t="shared" si="114"/>
        <v>0</v>
      </c>
      <c r="DD691" s="19">
        <f t="shared" si="115"/>
        <v>0</v>
      </c>
      <c r="DE691" s="19">
        <f t="shared" si="116"/>
        <v>0</v>
      </c>
      <c r="DF691" s="19">
        <f t="shared" si="117"/>
        <v>0</v>
      </c>
      <c r="DG691" s="19">
        <f t="shared" si="118"/>
        <v>0</v>
      </c>
      <c r="DH691" s="20">
        <f t="shared" si="119"/>
        <v>0</v>
      </c>
      <c r="DI691" s="20">
        <f t="shared" si="120"/>
        <v>0</v>
      </c>
    </row>
    <row r="692" spans="80:113" x14ac:dyDescent="0.3">
      <c r="CB692" s="18"/>
      <c r="CC692" s="19"/>
      <c r="CD692" s="19"/>
      <c r="CE692" s="19"/>
      <c r="CF692" s="19"/>
      <c r="CG692" s="19"/>
      <c r="CH692" s="19"/>
      <c r="CI692" s="18"/>
      <c r="CJ692" s="18"/>
      <c r="CN692" s="18"/>
      <c r="CO692" s="19"/>
      <c r="CP692" s="19"/>
      <c r="CQ692" s="19"/>
      <c r="CR692" s="19"/>
      <c r="CS692" s="19"/>
      <c r="CT692" s="19"/>
      <c r="CU692" s="20"/>
      <c r="CV692" s="20"/>
      <c r="DA692" s="18">
        <f t="shared" si="112"/>
        <v>0</v>
      </c>
      <c r="DB692" s="19">
        <f t="shared" si="113"/>
        <v>0</v>
      </c>
      <c r="DC692" s="19">
        <f t="shared" si="114"/>
        <v>0</v>
      </c>
      <c r="DD692" s="19">
        <f t="shared" si="115"/>
        <v>0</v>
      </c>
      <c r="DE692" s="19">
        <f t="shared" si="116"/>
        <v>0</v>
      </c>
      <c r="DF692" s="19">
        <f t="shared" si="117"/>
        <v>0</v>
      </c>
      <c r="DG692" s="19">
        <f t="shared" si="118"/>
        <v>0</v>
      </c>
      <c r="DH692" s="20">
        <f t="shared" si="119"/>
        <v>0</v>
      </c>
      <c r="DI692" s="20">
        <f t="shared" si="120"/>
        <v>0</v>
      </c>
    </row>
    <row r="693" spans="80:113" x14ac:dyDescent="0.3">
      <c r="CB693" s="18"/>
      <c r="CC693" s="19"/>
      <c r="CD693" s="19"/>
      <c r="CE693" s="19"/>
      <c r="CF693" s="19"/>
      <c r="CG693" s="19"/>
      <c r="CH693" s="19"/>
      <c r="CI693" s="18"/>
      <c r="CJ693" s="18"/>
      <c r="CN693" s="18"/>
      <c r="CO693" s="19"/>
      <c r="CP693" s="19"/>
      <c r="CQ693" s="19"/>
      <c r="CR693" s="19"/>
      <c r="CS693" s="19"/>
      <c r="CT693" s="19"/>
      <c r="CU693" s="20"/>
      <c r="CV693" s="20"/>
      <c r="DA693" s="18">
        <f t="shared" si="112"/>
        <v>0</v>
      </c>
      <c r="DB693" s="19">
        <f t="shared" si="113"/>
        <v>0</v>
      </c>
      <c r="DC693" s="19">
        <f t="shared" si="114"/>
        <v>0</v>
      </c>
      <c r="DD693" s="19">
        <f t="shared" si="115"/>
        <v>0</v>
      </c>
      <c r="DE693" s="19">
        <f t="shared" si="116"/>
        <v>0</v>
      </c>
      <c r="DF693" s="19">
        <f t="shared" si="117"/>
        <v>0</v>
      </c>
      <c r="DG693" s="19">
        <f t="shared" si="118"/>
        <v>0</v>
      </c>
      <c r="DH693" s="20">
        <f t="shared" si="119"/>
        <v>0</v>
      </c>
      <c r="DI693" s="20">
        <f t="shared" si="120"/>
        <v>0</v>
      </c>
    </row>
    <row r="694" spans="80:113" x14ac:dyDescent="0.3">
      <c r="CB694" s="18"/>
      <c r="CC694" s="19"/>
      <c r="CD694" s="19"/>
      <c r="CE694" s="19"/>
      <c r="CF694" s="19"/>
      <c r="CG694" s="19"/>
      <c r="CH694" s="19"/>
      <c r="CI694" s="18"/>
      <c r="CJ694" s="18"/>
      <c r="CN694" s="18"/>
      <c r="CO694" s="19"/>
      <c r="CP694" s="19"/>
      <c r="CQ694" s="19"/>
      <c r="CR694" s="19"/>
      <c r="CS694" s="19"/>
      <c r="CT694" s="19"/>
      <c r="CU694" s="20"/>
      <c r="CV694" s="20"/>
      <c r="DA694" s="18">
        <f t="shared" si="112"/>
        <v>0</v>
      </c>
      <c r="DB694" s="19">
        <f t="shared" si="113"/>
        <v>0</v>
      </c>
      <c r="DC694" s="19">
        <f t="shared" si="114"/>
        <v>0</v>
      </c>
      <c r="DD694" s="19">
        <f t="shared" si="115"/>
        <v>0</v>
      </c>
      <c r="DE694" s="19">
        <f t="shared" si="116"/>
        <v>0</v>
      </c>
      <c r="DF694" s="19">
        <f t="shared" si="117"/>
        <v>0</v>
      </c>
      <c r="DG694" s="19">
        <f t="shared" si="118"/>
        <v>0</v>
      </c>
      <c r="DH694" s="20">
        <f t="shared" si="119"/>
        <v>0</v>
      </c>
      <c r="DI694" s="20">
        <f t="shared" si="120"/>
        <v>0</v>
      </c>
    </row>
    <row r="695" spans="80:113" x14ac:dyDescent="0.3">
      <c r="CB695" s="18"/>
      <c r="CC695" s="19"/>
      <c r="CD695" s="19"/>
      <c r="CE695" s="19"/>
      <c r="CF695" s="19"/>
      <c r="CG695" s="19"/>
      <c r="CH695" s="19"/>
      <c r="CI695" s="18"/>
      <c r="CJ695" s="18"/>
      <c r="CN695" s="18"/>
      <c r="CO695" s="19"/>
      <c r="CP695" s="19"/>
      <c r="CQ695" s="19"/>
      <c r="CR695" s="19"/>
      <c r="CS695" s="19"/>
      <c r="CT695" s="19"/>
      <c r="CU695" s="20"/>
      <c r="CV695" s="20"/>
      <c r="DA695" s="18">
        <f t="shared" si="112"/>
        <v>0</v>
      </c>
      <c r="DB695" s="19">
        <f t="shared" si="113"/>
        <v>0</v>
      </c>
      <c r="DC695" s="19">
        <f t="shared" si="114"/>
        <v>0</v>
      </c>
      <c r="DD695" s="19">
        <f t="shared" si="115"/>
        <v>0</v>
      </c>
      <c r="DE695" s="19">
        <f t="shared" si="116"/>
        <v>0</v>
      </c>
      <c r="DF695" s="19">
        <f t="shared" si="117"/>
        <v>0</v>
      </c>
      <c r="DG695" s="19">
        <f t="shared" si="118"/>
        <v>0</v>
      </c>
      <c r="DH695" s="20">
        <f t="shared" si="119"/>
        <v>0</v>
      </c>
      <c r="DI695" s="20">
        <f t="shared" si="120"/>
        <v>0</v>
      </c>
    </row>
    <row r="696" spans="80:113" x14ac:dyDescent="0.3">
      <c r="CB696" s="18"/>
      <c r="CC696" s="19"/>
      <c r="CD696" s="19"/>
      <c r="CE696" s="19"/>
      <c r="CF696" s="19"/>
      <c r="CG696" s="19"/>
      <c r="CH696" s="19"/>
      <c r="CI696" s="18"/>
      <c r="CJ696" s="18"/>
      <c r="CN696" s="18"/>
      <c r="CO696" s="19"/>
      <c r="CP696" s="19"/>
      <c r="CQ696" s="19"/>
      <c r="CR696" s="19"/>
      <c r="CS696" s="19"/>
      <c r="CT696" s="19"/>
      <c r="CU696" s="20"/>
      <c r="CV696" s="20"/>
      <c r="DA696" s="18">
        <f t="shared" si="112"/>
        <v>0</v>
      </c>
      <c r="DB696" s="19">
        <f t="shared" si="113"/>
        <v>0</v>
      </c>
      <c r="DC696" s="19">
        <f t="shared" si="114"/>
        <v>0</v>
      </c>
      <c r="DD696" s="19">
        <f t="shared" si="115"/>
        <v>0</v>
      </c>
      <c r="DE696" s="19">
        <f t="shared" si="116"/>
        <v>0</v>
      </c>
      <c r="DF696" s="19">
        <f t="shared" si="117"/>
        <v>0</v>
      </c>
      <c r="DG696" s="19">
        <f t="shared" si="118"/>
        <v>0</v>
      </c>
      <c r="DH696" s="20">
        <f t="shared" si="119"/>
        <v>0</v>
      </c>
      <c r="DI696" s="20">
        <f t="shared" si="120"/>
        <v>0</v>
      </c>
    </row>
    <row r="697" spans="80:113" x14ac:dyDescent="0.3">
      <c r="CB697" s="18"/>
      <c r="CC697" s="19"/>
      <c r="CD697" s="19"/>
      <c r="CE697" s="19"/>
      <c r="CF697" s="19"/>
      <c r="CG697" s="19"/>
      <c r="CH697" s="19"/>
      <c r="CI697" s="18"/>
      <c r="CJ697" s="18"/>
      <c r="CN697" s="18"/>
      <c r="CO697" s="19"/>
      <c r="CP697" s="19"/>
      <c r="CQ697" s="19"/>
      <c r="CR697" s="19"/>
      <c r="CS697" s="19"/>
      <c r="CT697" s="19"/>
      <c r="CU697" s="20"/>
      <c r="CV697" s="20"/>
      <c r="DA697" s="18">
        <f t="shared" si="112"/>
        <v>0</v>
      </c>
      <c r="DB697" s="19">
        <f t="shared" si="113"/>
        <v>0</v>
      </c>
      <c r="DC697" s="19">
        <f t="shared" si="114"/>
        <v>0</v>
      </c>
      <c r="DD697" s="19">
        <f t="shared" si="115"/>
        <v>0</v>
      </c>
      <c r="DE697" s="19">
        <f t="shared" si="116"/>
        <v>0</v>
      </c>
      <c r="DF697" s="19">
        <f t="shared" si="117"/>
        <v>0</v>
      </c>
      <c r="DG697" s="19">
        <f t="shared" si="118"/>
        <v>0</v>
      </c>
      <c r="DH697" s="20">
        <f t="shared" si="119"/>
        <v>0</v>
      </c>
      <c r="DI697" s="20">
        <f t="shared" si="120"/>
        <v>0</v>
      </c>
    </row>
    <row r="698" spans="80:113" x14ac:dyDescent="0.3">
      <c r="CB698" s="18"/>
      <c r="CC698" s="19"/>
      <c r="CD698" s="19"/>
      <c r="CE698" s="19"/>
      <c r="CF698" s="19"/>
      <c r="CG698" s="19"/>
      <c r="CH698" s="19"/>
      <c r="CI698" s="18"/>
      <c r="CJ698" s="18"/>
      <c r="CN698" s="18"/>
      <c r="CO698" s="19"/>
      <c r="CP698" s="19"/>
      <c r="CQ698" s="19"/>
      <c r="CR698" s="19"/>
      <c r="CS698" s="19"/>
      <c r="CT698" s="19"/>
      <c r="CU698" s="20"/>
      <c r="CV698" s="20"/>
      <c r="DA698" s="18">
        <f t="shared" si="112"/>
        <v>0</v>
      </c>
      <c r="DB698" s="19">
        <f t="shared" si="113"/>
        <v>0</v>
      </c>
      <c r="DC698" s="19">
        <f t="shared" si="114"/>
        <v>0</v>
      </c>
      <c r="DD698" s="19">
        <f t="shared" si="115"/>
        <v>0</v>
      </c>
      <c r="DE698" s="19">
        <f t="shared" si="116"/>
        <v>0</v>
      </c>
      <c r="DF698" s="19">
        <f t="shared" si="117"/>
        <v>0</v>
      </c>
      <c r="DG698" s="19">
        <f t="shared" si="118"/>
        <v>0</v>
      </c>
      <c r="DH698" s="20">
        <f t="shared" si="119"/>
        <v>0</v>
      </c>
      <c r="DI698" s="20">
        <f t="shared" si="120"/>
        <v>0</v>
      </c>
    </row>
    <row r="699" spans="80:113" x14ac:dyDescent="0.3">
      <c r="CB699" s="18"/>
      <c r="CC699" s="19"/>
      <c r="CD699" s="19"/>
      <c r="CE699" s="19"/>
      <c r="CF699" s="19"/>
      <c r="CG699" s="19"/>
      <c r="CH699" s="19"/>
      <c r="CI699" s="18"/>
      <c r="CJ699" s="18"/>
      <c r="CN699" s="18"/>
      <c r="CO699" s="19"/>
      <c r="CP699" s="19"/>
      <c r="CQ699" s="19"/>
      <c r="CR699" s="19"/>
      <c r="CS699" s="19"/>
      <c r="CT699" s="19"/>
      <c r="CU699" s="20"/>
      <c r="CV699" s="20"/>
      <c r="DA699" s="18">
        <f t="shared" si="112"/>
        <v>0</v>
      </c>
      <c r="DB699" s="19">
        <f t="shared" si="113"/>
        <v>0</v>
      </c>
      <c r="DC699" s="19">
        <f t="shared" si="114"/>
        <v>0</v>
      </c>
      <c r="DD699" s="19">
        <f t="shared" si="115"/>
        <v>0</v>
      </c>
      <c r="DE699" s="19">
        <f t="shared" si="116"/>
        <v>0</v>
      </c>
      <c r="DF699" s="19">
        <f t="shared" si="117"/>
        <v>0</v>
      </c>
      <c r="DG699" s="19">
        <f t="shared" si="118"/>
        <v>0</v>
      </c>
      <c r="DH699" s="20">
        <f t="shared" si="119"/>
        <v>0</v>
      </c>
      <c r="DI699" s="20">
        <f t="shared" si="120"/>
        <v>0</v>
      </c>
    </row>
    <row r="700" spans="80:113" x14ac:dyDescent="0.3">
      <c r="CB700" s="18"/>
      <c r="CC700" s="19"/>
      <c r="CD700" s="19"/>
      <c r="CE700" s="19"/>
      <c r="CF700" s="19"/>
      <c r="CG700" s="19"/>
      <c r="CH700" s="19"/>
      <c r="CI700" s="18"/>
      <c r="CJ700" s="18"/>
      <c r="CN700" s="18"/>
      <c r="CO700" s="19"/>
      <c r="CP700" s="19"/>
      <c r="CQ700" s="19"/>
      <c r="CR700" s="19"/>
      <c r="CS700" s="19"/>
      <c r="CT700" s="19"/>
      <c r="CU700" s="20"/>
      <c r="CV700" s="20"/>
      <c r="DA700" s="18">
        <f t="shared" si="112"/>
        <v>0</v>
      </c>
      <c r="DB700" s="19">
        <f t="shared" si="113"/>
        <v>0</v>
      </c>
      <c r="DC700" s="19">
        <f t="shared" si="114"/>
        <v>0</v>
      </c>
      <c r="DD700" s="19">
        <f t="shared" si="115"/>
        <v>0</v>
      </c>
      <c r="DE700" s="19">
        <f t="shared" si="116"/>
        <v>0</v>
      </c>
      <c r="DF700" s="19">
        <f t="shared" si="117"/>
        <v>0</v>
      </c>
      <c r="DG700" s="19">
        <f t="shared" si="118"/>
        <v>0</v>
      </c>
      <c r="DH700" s="20">
        <f t="shared" si="119"/>
        <v>0</v>
      </c>
      <c r="DI700" s="20">
        <f t="shared" si="120"/>
        <v>0</v>
      </c>
    </row>
    <row r="701" spans="80:113" x14ac:dyDescent="0.3">
      <c r="CB701" s="18"/>
      <c r="CC701" s="19"/>
      <c r="CD701" s="19"/>
      <c r="CE701" s="19"/>
      <c r="CF701" s="19"/>
      <c r="CG701" s="19"/>
      <c r="CH701" s="19"/>
      <c r="CI701" s="18"/>
      <c r="CJ701" s="18"/>
      <c r="CN701" s="18"/>
      <c r="CO701" s="19"/>
      <c r="CP701" s="19"/>
      <c r="CQ701" s="19"/>
      <c r="CR701" s="19"/>
      <c r="CS701" s="19"/>
      <c r="CT701" s="19"/>
      <c r="CU701" s="20"/>
      <c r="CV701" s="20"/>
      <c r="DA701" s="18">
        <f t="shared" si="112"/>
        <v>0</v>
      </c>
      <c r="DB701" s="19">
        <f t="shared" si="113"/>
        <v>0</v>
      </c>
      <c r="DC701" s="19">
        <f t="shared" si="114"/>
        <v>0</v>
      </c>
      <c r="DD701" s="19">
        <f t="shared" si="115"/>
        <v>0</v>
      </c>
      <c r="DE701" s="19">
        <f t="shared" si="116"/>
        <v>0</v>
      </c>
      <c r="DF701" s="19">
        <f t="shared" si="117"/>
        <v>0</v>
      </c>
      <c r="DG701" s="19">
        <f t="shared" si="118"/>
        <v>0</v>
      </c>
      <c r="DH701" s="20">
        <f t="shared" si="119"/>
        <v>0</v>
      </c>
      <c r="DI701" s="20">
        <f t="shared" si="120"/>
        <v>0</v>
      </c>
    </row>
    <row r="702" spans="80:113" x14ac:dyDescent="0.3">
      <c r="CB702" s="18"/>
      <c r="CC702" s="19"/>
      <c r="CD702" s="19"/>
      <c r="CE702" s="19"/>
      <c r="CF702" s="19"/>
      <c r="CG702" s="19"/>
      <c r="CH702" s="19"/>
      <c r="CI702" s="18"/>
      <c r="CJ702" s="18"/>
      <c r="CN702" s="18"/>
      <c r="CO702" s="19"/>
      <c r="CP702" s="19"/>
      <c r="CQ702" s="19"/>
      <c r="CR702" s="19"/>
      <c r="CS702" s="19"/>
      <c r="CT702" s="19"/>
      <c r="CU702" s="20"/>
      <c r="CV702" s="20"/>
      <c r="DA702" s="18">
        <f t="shared" si="112"/>
        <v>0</v>
      </c>
      <c r="DB702" s="19">
        <f t="shared" si="113"/>
        <v>0</v>
      </c>
      <c r="DC702" s="19">
        <f t="shared" si="114"/>
        <v>0</v>
      </c>
      <c r="DD702" s="19">
        <f t="shared" si="115"/>
        <v>0</v>
      </c>
      <c r="DE702" s="19">
        <f t="shared" si="116"/>
        <v>0</v>
      </c>
      <c r="DF702" s="19">
        <f t="shared" si="117"/>
        <v>0</v>
      </c>
      <c r="DG702" s="19">
        <f t="shared" si="118"/>
        <v>0</v>
      </c>
      <c r="DH702" s="20">
        <f t="shared" si="119"/>
        <v>0</v>
      </c>
      <c r="DI702" s="20">
        <f t="shared" si="120"/>
        <v>0</v>
      </c>
    </row>
    <row r="703" spans="80:113" x14ac:dyDescent="0.3">
      <c r="CB703" s="18"/>
      <c r="CC703" s="19"/>
      <c r="CD703" s="19"/>
      <c r="CE703" s="19"/>
      <c r="CF703" s="19"/>
      <c r="CG703" s="19"/>
      <c r="CH703" s="19"/>
      <c r="CI703" s="18"/>
      <c r="CJ703" s="18"/>
      <c r="CN703" s="18"/>
      <c r="CO703" s="19"/>
      <c r="CP703" s="19"/>
      <c r="CQ703" s="19"/>
      <c r="CR703" s="19"/>
      <c r="CS703" s="19"/>
      <c r="CT703" s="19"/>
      <c r="CU703" s="20"/>
      <c r="CV703" s="20"/>
      <c r="DA703" s="18">
        <f t="shared" si="112"/>
        <v>0</v>
      </c>
      <c r="DB703" s="19">
        <f t="shared" si="113"/>
        <v>0</v>
      </c>
      <c r="DC703" s="19">
        <f t="shared" si="114"/>
        <v>0</v>
      </c>
      <c r="DD703" s="19">
        <f t="shared" si="115"/>
        <v>0</v>
      </c>
      <c r="DE703" s="19">
        <f t="shared" si="116"/>
        <v>0</v>
      </c>
      <c r="DF703" s="19">
        <f t="shared" si="117"/>
        <v>0</v>
      </c>
      <c r="DG703" s="19">
        <f t="shared" si="118"/>
        <v>0</v>
      </c>
      <c r="DH703" s="20">
        <f t="shared" si="119"/>
        <v>0</v>
      </c>
      <c r="DI703" s="20">
        <f t="shared" si="120"/>
        <v>0</v>
      </c>
    </row>
    <row r="704" spans="80:113" x14ac:dyDescent="0.3">
      <c r="CB704" s="18"/>
      <c r="CC704" s="19"/>
      <c r="CD704" s="19"/>
      <c r="CE704" s="19"/>
      <c r="CF704" s="19"/>
      <c r="CG704" s="19"/>
      <c r="CH704" s="19"/>
      <c r="CI704" s="18"/>
      <c r="CJ704" s="18"/>
      <c r="CN704" s="18"/>
      <c r="CO704" s="19"/>
      <c r="CP704" s="19"/>
      <c r="CQ704" s="19"/>
      <c r="CR704" s="19"/>
      <c r="CS704" s="19"/>
      <c r="CT704" s="19"/>
      <c r="CU704" s="20"/>
      <c r="CV704" s="20"/>
      <c r="DA704" s="18">
        <f t="shared" si="112"/>
        <v>0</v>
      </c>
      <c r="DB704" s="19">
        <f t="shared" si="113"/>
        <v>0</v>
      </c>
      <c r="DC704" s="19">
        <f t="shared" si="114"/>
        <v>0</v>
      </c>
      <c r="DD704" s="19">
        <f t="shared" si="115"/>
        <v>0</v>
      </c>
      <c r="DE704" s="19">
        <f t="shared" si="116"/>
        <v>0</v>
      </c>
      <c r="DF704" s="19">
        <f t="shared" si="117"/>
        <v>0</v>
      </c>
      <c r="DG704" s="19">
        <f t="shared" si="118"/>
        <v>0</v>
      </c>
      <c r="DH704" s="20">
        <f t="shared" si="119"/>
        <v>0</v>
      </c>
      <c r="DI704" s="20">
        <f t="shared" si="120"/>
        <v>0</v>
      </c>
    </row>
    <row r="705" spans="80:113" x14ac:dyDescent="0.3">
      <c r="CB705" s="18"/>
      <c r="CC705" s="19"/>
      <c r="CD705" s="19"/>
      <c r="CE705" s="19"/>
      <c r="CF705" s="19"/>
      <c r="CG705" s="19"/>
      <c r="CH705" s="19"/>
      <c r="CI705" s="18"/>
      <c r="CJ705" s="18"/>
      <c r="CN705" s="18"/>
      <c r="CO705" s="19"/>
      <c r="CP705" s="19"/>
      <c r="CQ705" s="19"/>
      <c r="CR705" s="19"/>
      <c r="CS705" s="19"/>
      <c r="CT705" s="19"/>
      <c r="CU705" s="20"/>
      <c r="CV705" s="20"/>
      <c r="DA705" s="18">
        <f t="shared" si="112"/>
        <v>0</v>
      </c>
      <c r="DB705" s="19">
        <f t="shared" si="113"/>
        <v>0</v>
      </c>
      <c r="DC705" s="19">
        <f t="shared" si="114"/>
        <v>0</v>
      </c>
      <c r="DD705" s="19">
        <f t="shared" si="115"/>
        <v>0</v>
      </c>
      <c r="DE705" s="19">
        <f t="shared" si="116"/>
        <v>0</v>
      </c>
      <c r="DF705" s="19">
        <f t="shared" si="117"/>
        <v>0</v>
      </c>
      <c r="DG705" s="19">
        <f t="shared" si="118"/>
        <v>0</v>
      </c>
      <c r="DH705" s="20">
        <f t="shared" si="119"/>
        <v>0</v>
      </c>
      <c r="DI705" s="20">
        <f t="shared" si="120"/>
        <v>0</v>
      </c>
    </row>
    <row r="706" spans="80:113" x14ac:dyDescent="0.3">
      <c r="CB706" s="18"/>
      <c r="CC706" s="19"/>
      <c r="CD706" s="19"/>
      <c r="CE706" s="19"/>
      <c r="CF706" s="19"/>
      <c r="CG706" s="19"/>
      <c r="CH706" s="19"/>
      <c r="CI706" s="18"/>
      <c r="CJ706" s="18"/>
      <c r="CN706" s="18"/>
      <c r="CO706" s="19"/>
      <c r="CP706" s="19"/>
      <c r="CQ706" s="19"/>
      <c r="CR706" s="19"/>
      <c r="CS706" s="19"/>
      <c r="CT706" s="19"/>
      <c r="CU706" s="20"/>
      <c r="CV706" s="20"/>
      <c r="DA706" s="18">
        <f t="shared" si="112"/>
        <v>0</v>
      </c>
      <c r="DB706" s="19">
        <f t="shared" si="113"/>
        <v>0</v>
      </c>
      <c r="DC706" s="19">
        <f t="shared" si="114"/>
        <v>0</v>
      </c>
      <c r="DD706" s="19">
        <f t="shared" si="115"/>
        <v>0</v>
      </c>
      <c r="DE706" s="19">
        <f t="shared" si="116"/>
        <v>0</v>
      </c>
      <c r="DF706" s="19">
        <f t="shared" si="117"/>
        <v>0</v>
      </c>
      <c r="DG706" s="19">
        <f t="shared" si="118"/>
        <v>0</v>
      </c>
      <c r="DH706" s="20">
        <f t="shared" si="119"/>
        <v>0</v>
      </c>
      <c r="DI706" s="20">
        <f t="shared" si="120"/>
        <v>0</v>
      </c>
    </row>
    <row r="707" spans="80:113" x14ac:dyDescent="0.3">
      <c r="CB707" s="18"/>
      <c r="CC707" s="19"/>
      <c r="CD707" s="19"/>
      <c r="CE707" s="19"/>
      <c r="CF707" s="19"/>
      <c r="CG707" s="19"/>
      <c r="CH707" s="19"/>
      <c r="CI707" s="18"/>
      <c r="CJ707" s="18"/>
      <c r="CN707" s="18"/>
      <c r="CO707" s="19"/>
      <c r="CP707" s="19"/>
      <c r="CQ707" s="19"/>
      <c r="CR707" s="19"/>
      <c r="CS707" s="19"/>
      <c r="CT707" s="19"/>
      <c r="CU707" s="20"/>
      <c r="CV707" s="20"/>
      <c r="DA707" s="18">
        <f t="shared" ref="DA707:DA770" si="121">IF($BZ$2=1,CN707,CB707)</f>
        <v>0</v>
      </c>
      <c r="DB707" s="19">
        <f t="shared" ref="DB707:DB770" si="122">IF($BZ$2=1,CO707,CC707)</f>
        <v>0</v>
      </c>
      <c r="DC707" s="19">
        <f t="shared" ref="DC707:DC770" si="123">IF($BZ$2=1,CP707,CD707)</f>
        <v>0</v>
      </c>
      <c r="DD707" s="19">
        <f t="shared" ref="DD707:DD770" si="124">IF($BZ$2=1,CQ707,CE707)</f>
        <v>0</v>
      </c>
      <c r="DE707" s="19">
        <f t="shared" ref="DE707:DE770" si="125">IF($BZ$2=1,CR707,CF707)</f>
        <v>0</v>
      </c>
      <c r="DF707" s="19">
        <f t="shared" ref="DF707:DF770" si="126">IF($BZ$2=1,CS707,CG707)</f>
        <v>0</v>
      </c>
      <c r="DG707" s="19">
        <f t="shared" ref="DG707:DG770" si="127">IF($BZ$2=1,CT707,CH707)</f>
        <v>0</v>
      </c>
      <c r="DH707" s="20">
        <f t="shared" ref="DH707:DH770" si="128">IF($BZ$2=1,CU707,CI707)</f>
        <v>0</v>
      </c>
      <c r="DI707" s="20">
        <f t="shared" ref="DI707:DI770" si="129">IF($BZ$2=1,CV707,CJ707)</f>
        <v>0</v>
      </c>
    </row>
    <row r="708" spans="80:113" x14ac:dyDescent="0.3">
      <c r="CB708" s="18"/>
      <c r="CC708" s="19"/>
      <c r="CD708" s="19"/>
      <c r="CE708" s="19"/>
      <c r="CF708" s="19"/>
      <c r="CG708" s="19"/>
      <c r="CH708" s="19"/>
      <c r="CI708" s="18"/>
      <c r="CJ708" s="18"/>
      <c r="CN708" s="18"/>
      <c r="CO708" s="19"/>
      <c r="CP708" s="19"/>
      <c r="CQ708" s="19"/>
      <c r="CR708" s="19"/>
      <c r="CS708" s="19"/>
      <c r="CT708" s="19"/>
      <c r="CU708" s="20"/>
      <c r="CV708" s="20"/>
      <c r="DA708" s="18">
        <f t="shared" si="121"/>
        <v>0</v>
      </c>
      <c r="DB708" s="19">
        <f t="shared" si="122"/>
        <v>0</v>
      </c>
      <c r="DC708" s="19">
        <f t="shared" si="123"/>
        <v>0</v>
      </c>
      <c r="DD708" s="19">
        <f t="shared" si="124"/>
        <v>0</v>
      </c>
      <c r="DE708" s="19">
        <f t="shared" si="125"/>
        <v>0</v>
      </c>
      <c r="DF708" s="19">
        <f t="shared" si="126"/>
        <v>0</v>
      </c>
      <c r="DG708" s="19">
        <f t="shared" si="127"/>
        <v>0</v>
      </c>
      <c r="DH708" s="20">
        <f t="shared" si="128"/>
        <v>0</v>
      </c>
      <c r="DI708" s="20">
        <f t="shared" si="129"/>
        <v>0</v>
      </c>
    </row>
    <row r="709" spans="80:113" x14ac:dyDescent="0.3">
      <c r="CB709" s="18"/>
      <c r="CC709" s="19"/>
      <c r="CD709" s="19"/>
      <c r="CE709" s="19"/>
      <c r="CF709" s="19"/>
      <c r="CG709" s="19"/>
      <c r="CH709" s="19"/>
      <c r="CI709" s="18"/>
      <c r="CJ709" s="18"/>
      <c r="CN709" s="18"/>
      <c r="CO709" s="19"/>
      <c r="CP709" s="19"/>
      <c r="CQ709" s="19"/>
      <c r="CR709" s="19"/>
      <c r="CS709" s="19"/>
      <c r="CT709" s="19"/>
      <c r="CU709" s="20"/>
      <c r="CV709" s="20"/>
      <c r="DA709" s="18">
        <f t="shared" si="121"/>
        <v>0</v>
      </c>
      <c r="DB709" s="19">
        <f t="shared" si="122"/>
        <v>0</v>
      </c>
      <c r="DC709" s="19">
        <f t="shared" si="123"/>
        <v>0</v>
      </c>
      <c r="DD709" s="19">
        <f t="shared" si="124"/>
        <v>0</v>
      </c>
      <c r="DE709" s="19">
        <f t="shared" si="125"/>
        <v>0</v>
      </c>
      <c r="DF709" s="19">
        <f t="shared" si="126"/>
        <v>0</v>
      </c>
      <c r="DG709" s="19">
        <f t="shared" si="127"/>
        <v>0</v>
      </c>
      <c r="DH709" s="20">
        <f t="shared" si="128"/>
        <v>0</v>
      </c>
      <c r="DI709" s="20">
        <f t="shared" si="129"/>
        <v>0</v>
      </c>
    </row>
    <row r="710" spans="80:113" x14ac:dyDescent="0.3">
      <c r="CB710" s="18"/>
      <c r="CC710" s="19"/>
      <c r="CD710" s="19"/>
      <c r="CE710" s="19"/>
      <c r="CF710" s="19"/>
      <c r="CG710" s="19"/>
      <c r="CH710" s="19"/>
      <c r="CI710" s="18"/>
      <c r="CJ710" s="18"/>
      <c r="CN710" s="18"/>
      <c r="CO710" s="19"/>
      <c r="CP710" s="19"/>
      <c r="CQ710" s="19"/>
      <c r="CR710" s="19"/>
      <c r="CS710" s="19"/>
      <c r="CT710" s="19"/>
      <c r="CU710" s="20"/>
      <c r="CV710" s="20"/>
      <c r="DA710" s="18">
        <f t="shared" si="121"/>
        <v>0</v>
      </c>
      <c r="DB710" s="19">
        <f t="shared" si="122"/>
        <v>0</v>
      </c>
      <c r="DC710" s="19">
        <f t="shared" si="123"/>
        <v>0</v>
      </c>
      <c r="DD710" s="19">
        <f t="shared" si="124"/>
        <v>0</v>
      </c>
      <c r="DE710" s="19">
        <f t="shared" si="125"/>
        <v>0</v>
      </c>
      <c r="DF710" s="19">
        <f t="shared" si="126"/>
        <v>0</v>
      </c>
      <c r="DG710" s="19">
        <f t="shared" si="127"/>
        <v>0</v>
      </c>
      <c r="DH710" s="20">
        <f t="shared" si="128"/>
        <v>0</v>
      </c>
      <c r="DI710" s="20">
        <f t="shared" si="129"/>
        <v>0</v>
      </c>
    </row>
    <row r="711" spans="80:113" x14ac:dyDescent="0.3">
      <c r="CB711" s="18"/>
      <c r="CC711" s="19"/>
      <c r="CD711" s="19"/>
      <c r="CE711" s="19"/>
      <c r="CF711" s="19"/>
      <c r="CG711" s="19"/>
      <c r="CH711" s="19"/>
      <c r="CI711" s="18"/>
      <c r="CJ711" s="18"/>
      <c r="CN711" s="18"/>
      <c r="CO711" s="19"/>
      <c r="CP711" s="19"/>
      <c r="CQ711" s="19"/>
      <c r="CR711" s="19"/>
      <c r="CS711" s="19"/>
      <c r="CT711" s="19"/>
      <c r="CU711" s="20"/>
      <c r="CV711" s="20"/>
      <c r="DA711" s="18">
        <f t="shared" si="121"/>
        <v>0</v>
      </c>
      <c r="DB711" s="19">
        <f t="shared" si="122"/>
        <v>0</v>
      </c>
      <c r="DC711" s="19">
        <f t="shared" si="123"/>
        <v>0</v>
      </c>
      <c r="DD711" s="19">
        <f t="shared" si="124"/>
        <v>0</v>
      </c>
      <c r="DE711" s="19">
        <f t="shared" si="125"/>
        <v>0</v>
      </c>
      <c r="DF711" s="19">
        <f t="shared" si="126"/>
        <v>0</v>
      </c>
      <c r="DG711" s="19">
        <f t="shared" si="127"/>
        <v>0</v>
      </c>
      <c r="DH711" s="20">
        <f t="shared" si="128"/>
        <v>0</v>
      </c>
      <c r="DI711" s="20">
        <f t="shared" si="129"/>
        <v>0</v>
      </c>
    </row>
    <row r="712" spans="80:113" x14ac:dyDescent="0.3">
      <c r="CB712" s="18"/>
      <c r="CC712" s="19"/>
      <c r="CD712" s="19"/>
      <c r="CE712" s="19"/>
      <c r="CF712" s="19"/>
      <c r="CG712" s="19"/>
      <c r="CH712" s="19"/>
      <c r="CI712" s="18"/>
      <c r="CJ712" s="18"/>
      <c r="CN712" s="18"/>
      <c r="CO712" s="19"/>
      <c r="CP712" s="19"/>
      <c r="CQ712" s="19"/>
      <c r="CR712" s="19"/>
      <c r="CS712" s="19"/>
      <c r="CT712" s="19"/>
      <c r="CU712" s="20"/>
      <c r="CV712" s="20"/>
      <c r="DA712" s="18">
        <f t="shared" si="121"/>
        <v>0</v>
      </c>
      <c r="DB712" s="19">
        <f t="shared" si="122"/>
        <v>0</v>
      </c>
      <c r="DC712" s="19">
        <f t="shared" si="123"/>
        <v>0</v>
      </c>
      <c r="DD712" s="19">
        <f t="shared" si="124"/>
        <v>0</v>
      </c>
      <c r="DE712" s="19">
        <f t="shared" si="125"/>
        <v>0</v>
      </c>
      <c r="DF712" s="19">
        <f t="shared" si="126"/>
        <v>0</v>
      </c>
      <c r="DG712" s="19">
        <f t="shared" si="127"/>
        <v>0</v>
      </c>
      <c r="DH712" s="20">
        <f t="shared" si="128"/>
        <v>0</v>
      </c>
      <c r="DI712" s="20">
        <f t="shared" si="129"/>
        <v>0</v>
      </c>
    </row>
    <row r="713" spans="80:113" x14ac:dyDescent="0.3">
      <c r="CB713" s="18"/>
      <c r="CC713" s="19"/>
      <c r="CD713" s="19"/>
      <c r="CE713" s="19"/>
      <c r="CF713" s="19"/>
      <c r="CG713" s="19"/>
      <c r="CH713" s="19"/>
      <c r="CI713" s="18"/>
      <c r="CJ713" s="18"/>
      <c r="CN713" s="18"/>
      <c r="CO713" s="19"/>
      <c r="CP713" s="19"/>
      <c r="CQ713" s="19"/>
      <c r="CR713" s="19"/>
      <c r="CS713" s="19"/>
      <c r="CT713" s="19"/>
      <c r="CU713" s="20"/>
      <c r="CV713" s="20"/>
      <c r="DA713" s="18">
        <f t="shared" si="121"/>
        <v>0</v>
      </c>
      <c r="DB713" s="19">
        <f t="shared" si="122"/>
        <v>0</v>
      </c>
      <c r="DC713" s="19">
        <f t="shared" si="123"/>
        <v>0</v>
      </c>
      <c r="DD713" s="19">
        <f t="shared" si="124"/>
        <v>0</v>
      </c>
      <c r="DE713" s="19">
        <f t="shared" si="125"/>
        <v>0</v>
      </c>
      <c r="DF713" s="19">
        <f t="shared" si="126"/>
        <v>0</v>
      </c>
      <c r="DG713" s="19">
        <f t="shared" si="127"/>
        <v>0</v>
      </c>
      <c r="DH713" s="20">
        <f t="shared" si="128"/>
        <v>0</v>
      </c>
      <c r="DI713" s="20">
        <f t="shared" si="129"/>
        <v>0</v>
      </c>
    </row>
    <row r="714" spans="80:113" x14ac:dyDescent="0.3">
      <c r="CB714" s="18"/>
      <c r="CC714" s="19"/>
      <c r="CD714" s="19"/>
      <c r="CE714" s="19"/>
      <c r="CF714" s="19"/>
      <c r="CG714" s="19"/>
      <c r="CH714" s="19"/>
      <c r="CI714" s="18"/>
      <c r="CJ714" s="18"/>
      <c r="CN714" s="18"/>
      <c r="CO714" s="19"/>
      <c r="CP714" s="19"/>
      <c r="CQ714" s="19"/>
      <c r="CR714" s="19"/>
      <c r="CS714" s="19"/>
      <c r="CT714" s="19"/>
      <c r="CU714" s="20"/>
      <c r="CV714" s="20"/>
      <c r="DA714" s="18">
        <f t="shared" si="121"/>
        <v>0</v>
      </c>
      <c r="DB714" s="19">
        <f t="shared" si="122"/>
        <v>0</v>
      </c>
      <c r="DC714" s="19">
        <f t="shared" si="123"/>
        <v>0</v>
      </c>
      <c r="DD714" s="19">
        <f t="shared" si="124"/>
        <v>0</v>
      </c>
      <c r="DE714" s="19">
        <f t="shared" si="125"/>
        <v>0</v>
      </c>
      <c r="DF714" s="19">
        <f t="shared" si="126"/>
        <v>0</v>
      </c>
      <c r="DG714" s="19">
        <f t="shared" si="127"/>
        <v>0</v>
      </c>
      <c r="DH714" s="20">
        <f t="shared" si="128"/>
        <v>0</v>
      </c>
      <c r="DI714" s="20">
        <f t="shared" si="129"/>
        <v>0</v>
      </c>
    </row>
    <row r="715" spans="80:113" x14ac:dyDescent="0.3">
      <c r="CB715" s="18"/>
      <c r="CC715" s="19"/>
      <c r="CD715" s="19"/>
      <c r="CE715" s="19"/>
      <c r="CF715" s="19"/>
      <c r="CG715" s="19"/>
      <c r="CH715" s="19"/>
      <c r="CI715" s="18"/>
      <c r="CJ715" s="18"/>
      <c r="CN715" s="18"/>
      <c r="CO715" s="19"/>
      <c r="CP715" s="19"/>
      <c r="CQ715" s="19"/>
      <c r="CR715" s="19"/>
      <c r="CS715" s="19"/>
      <c r="CT715" s="19"/>
      <c r="CU715" s="20"/>
      <c r="CV715" s="20"/>
      <c r="DA715" s="18">
        <f t="shared" si="121"/>
        <v>0</v>
      </c>
      <c r="DB715" s="19">
        <f t="shared" si="122"/>
        <v>0</v>
      </c>
      <c r="DC715" s="19">
        <f t="shared" si="123"/>
        <v>0</v>
      </c>
      <c r="DD715" s="19">
        <f t="shared" si="124"/>
        <v>0</v>
      </c>
      <c r="DE715" s="19">
        <f t="shared" si="125"/>
        <v>0</v>
      </c>
      <c r="DF715" s="19">
        <f t="shared" si="126"/>
        <v>0</v>
      </c>
      <c r="DG715" s="19">
        <f t="shared" si="127"/>
        <v>0</v>
      </c>
      <c r="DH715" s="20">
        <f t="shared" si="128"/>
        <v>0</v>
      </c>
      <c r="DI715" s="20">
        <f t="shared" si="129"/>
        <v>0</v>
      </c>
    </row>
    <row r="716" spans="80:113" x14ac:dyDescent="0.3">
      <c r="CB716" s="18"/>
      <c r="CC716" s="19"/>
      <c r="CD716" s="19"/>
      <c r="CE716" s="19"/>
      <c r="CF716" s="19"/>
      <c r="CG716" s="19"/>
      <c r="CH716" s="19"/>
      <c r="CI716" s="18"/>
      <c r="CJ716" s="18"/>
      <c r="CN716" s="18"/>
      <c r="CO716" s="19"/>
      <c r="CP716" s="19"/>
      <c r="CQ716" s="19"/>
      <c r="CR716" s="19"/>
      <c r="CS716" s="19"/>
      <c r="CT716" s="19"/>
      <c r="CU716" s="20"/>
      <c r="CV716" s="20"/>
      <c r="DA716" s="18">
        <f t="shared" si="121"/>
        <v>0</v>
      </c>
      <c r="DB716" s="19">
        <f t="shared" si="122"/>
        <v>0</v>
      </c>
      <c r="DC716" s="19">
        <f t="shared" si="123"/>
        <v>0</v>
      </c>
      <c r="DD716" s="19">
        <f t="shared" si="124"/>
        <v>0</v>
      </c>
      <c r="DE716" s="19">
        <f t="shared" si="125"/>
        <v>0</v>
      </c>
      <c r="DF716" s="19">
        <f t="shared" si="126"/>
        <v>0</v>
      </c>
      <c r="DG716" s="19">
        <f t="shared" si="127"/>
        <v>0</v>
      </c>
      <c r="DH716" s="20">
        <f t="shared" si="128"/>
        <v>0</v>
      </c>
      <c r="DI716" s="20">
        <f t="shared" si="129"/>
        <v>0</v>
      </c>
    </row>
    <row r="717" spans="80:113" x14ac:dyDescent="0.3">
      <c r="CB717" s="18"/>
      <c r="CC717" s="19"/>
      <c r="CD717" s="19"/>
      <c r="CE717" s="19"/>
      <c r="CF717" s="19"/>
      <c r="CG717" s="19"/>
      <c r="CH717" s="19"/>
      <c r="CI717" s="18"/>
      <c r="CJ717" s="18"/>
      <c r="CN717" s="18"/>
      <c r="CO717" s="19"/>
      <c r="CP717" s="19"/>
      <c r="CQ717" s="19"/>
      <c r="CR717" s="19"/>
      <c r="CS717" s="19"/>
      <c r="CT717" s="19"/>
      <c r="CU717" s="20"/>
      <c r="CV717" s="20"/>
      <c r="DA717" s="18">
        <f t="shared" si="121"/>
        <v>0</v>
      </c>
      <c r="DB717" s="19">
        <f t="shared" si="122"/>
        <v>0</v>
      </c>
      <c r="DC717" s="19">
        <f t="shared" si="123"/>
        <v>0</v>
      </c>
      <c r="DD717" s="19">
        <f t="shared" si="124"/>
        <v>0</v>
      </c>
      <c r="DE717" s="19">
        <f t="shared" si="125"/>
        <v>0</v>
      </c>
      <c r="DF717" s="19">
        <f t="shared" si="126"/>
        <v>0</v>
      </c>
      <c r="DG717" s="19">
        <f t="shared" si="127"/>
        <v>0</v>
      </c>
      <c r="DH717" s="20">
        <f t="shared" si="128"/>
        <v>0</v>
      </c>
      <c r="DI717" s="20">
        <f t="shared" si="129"/>
        <v>0</v>
      </c>
    </row>
    <row r="718" spans="80:113" x14ac:dyDescent="0.3">
      <c r="CB718" s="18"/>
      <c r="CC718" s="19"/>
      <c r="CD718" s="19"/>
      <c r="CE718" s="19"/>
      <c r="CF718" s="19"/>
      <c r="CG718" s="19"/>
      <c r="CH718" s="19"/>
      <c r="CI718" s="18"/>
      <c r="CJ718" s="18"/>
      <c r="CN718" s="18"/>
      <c r="CO718" s="19"/>
      <c r="CP718" s="19"/>
      <c r="CQ718" s="19"/>
      <c r="CR718" s="19"/>
      <c r="CS718" s="19"/>
      <c r="CT718" s="19"/>
      <c r="CU718" s="20"/>
      <c r="CV718" s="20"/>
      <c r="DA718" s="18">
        <f t="shared" si="121"/>
        <v>0</v>
      </c>
      <c r="DB718" s="19">
        <f t="shared" si="122"/>
        <v>0</v>
      </c>
      <c r="DC718" s="19">
        <f t="shared" si="123"/>
        <v>0</v>
      </c>
      <c r="DD718" s="19">
        <f t="shared" si="124"/>
        <v>0</v>
      </c>
      <c r="DE718" s="19">
        <f t="shared" si="125"/>
        <v>0</v>
      </c>
      <c r="DF718" s="19">
        <f t="shared" si="126"/>
        <v>0</v>
      </c>
      <c r="DG718" s="19">
        <f t="shared" si="127"/>
        <v>0</v>
      </c>
      <c r="DH718" s="20">
        <f t="shared" si="128"/>
        <v>0</v>
      </c>
      <c r="DI718" s="20">
        <f t="shared" si="129"/>
        <v>0</v>
      </c>
    </row>
    <row r="719" spans="80:113" x14ac:dyDescent="0.3">
      <c r="CB719" s="18"/>
      <c r="CC719" s="19"/>
      <c r="CD719" s="19"/>
      <c r="CE719" s="19"/>
      <c r="CF719" s="19"/>
      <c r="CG719" s="19"/>
      <c r="CH719" s="19"/>
      <c r="CI719" s="18"/>
      <c r="CJ719" s="18"/>
      <c r="CN719" s="18"/>
      <c r="CO719" s="19"/>
      <c r="CP719" s="19"/>
      <c r="CQ719" s="19"/>
      <c r="CR719" s="19"/>
      <c r="CS719" s="19"/>
      <c r="CT719" s="19"/>
      <c r="CU719" s="20"/>
      <c r="CV719" s="20"/>
      <c r="DA719" s="18">
        <f t="shared" si="121"/>
        <v>0</v>
      </c>
      <c r="DB719" s="19">
        <f t="shared" si="122"/>
        <v>0</v>
      </c>
      <c r="DC719" s="19">
        <f t="shared" si="123"/>
        <v>0</v>
      </c>
      <c r="DD719" s="19">
        <f t="shared" si="124"/>
        <v>0</v>
      </c>
      <c r="DE719" s="19">
        <f t="shared" si="125"/>
        <v>0</v>
      </c>
      <c r="DF719" s="19">
        <f t="shared" si="126"/>
        <v>0</v>
      </c>
      <c r="DG719" s="19">
        <f t="shared" si="127"/>
        <v>0</v>
      </c>
      <c r="DH719" s="20">
        <f t="shared" si="128"/>
        <v>0</v>
      </c>
      <c r="DI719" s="20">
        <f t="shared" si="129"/>
        <v>0</v>
      </c>
    </row>
    <row r="720" spans="80:113" x14ac:dyDescent="0.3">
      <c r="CB720" s="18"/>
      <c r="CC720" s="19"/>
      <c r="CD720" s="19"/>
      <c r="CE720" s="19"/>
      <c r="CF720" s="19"/>
      <c r="CG720" s="19"/>
      <c r="CH720" s="19"/>
      <c r="CI720" s="18"/>
      <c r="CJ720" s="18"/>
      <c r="CN720" s="18"/>
      <c r="CO720" s="19"/>
      <c r="CP720" s="19"/>
      <c r="CQ720" s="19"/>
      <c r="CR720" s="19"/>
      <c r="CS720" s="19"/>
      <c r="CT720" s="19"/>
      <c r="CU720" s="20"/>
      <c r="CV720" s="20"/>
      <c r="DA720" s="18">
        <f t="shared" si="121"/>
        <v>0</v>
      </c>
      <c r="DB720" s="19">
        <f t="shared" si="122"/>
        <v>0</v>
      </c>
      <c r="DC720" s="19">
        <f t="shared" si="123"/>
        <v>0</v>
      </c>
      <c r="DD720" s="19">
        <f t="shared" si="124"/>
        <v>0</v>
      </c>
      <c r="DE720" s="19">
        <f t="shared" si="125"/>
        <v>0</v>
      </c>
      <c r="DF720" s="19">
        <f t="shared" si="126"/>
        <v>0</v>
      </c>
      <c r="DG720" s="19">
        <f t="shared" si="127"/>
        <v>0</v>
      </c>
      <c r="DH720" s="20">
        <f t="shared" si="128"/>
        <v>0</v>
      </c>
      <c r="DI720" s="20">
        <f t="shared" si="129"/>
        <v>0</v>
      </c>
    </row>
    <row r="721" spans="80:113" x14ac:dyDescent="0.3">
      <c r="CB721" s="18"/>
      <c r="CC721" s="19"/>
      <c r="CD721" s="19"/>
      <c r="CE721" s="19"/>
      <c r="CF721" s="19"/>
      <c r="CG721" s="19"/>
      <c r="CH721" s="19"/>
      <c r="CI721" s="18"/>
      <c r="CJ721" s="18"/>
      <c r="CN721" s="18"/>
      <c r="CO721" s="19"/>
      <c r="CP721" s="19"/>
      <c r="CQ721" s="19"/>
      <c r="CR721" s="19"/>
      <c r="CS721" s="19"/>
      <c r="CT721" s="19"/>
      <c r="CU721" s="20"/>
      <c r="CV721" s="20"/>
      <c r="DA721" s="18">
        <f t="shared" si="121"/>
        <v>0</v>
      </c>
      <c r="DB721" s="19">
        <f t="shared" si="122"/>
        <v>0</v>
      </c>
      <c r="DC721" s="19">
        <f t="shared" si="123"/>
        <v>0</v>
      </c>
      <c r="DD721" s="19">
        <f t="shared" si="124"/>
        <v>0</v>
      </c>
      <c r="DE721" s="19">
        <f t="shared" si="125"/>
        <v>0</v>
      </c>
      <c r="DF721" s="19">
        <f t="shared" si="126"/>
        <v>0</v>
      </c>
      <c r="DG721" s="19">
        <f t="shared" si="127"/>
        <v>0</v>
      </c>
      <c r="DH721" s="20">
        <f t="shared" si="128"/>
        <v>0</v>
      </c>
      <c r="DI721" s="20">
        <f t="shared" si="129"/>
        <v>0</v>
      </c>
    </row>
    <row r="722" spans="80:113" x14ac:dyDescent="0.3">
      <c r="CB722" s="18"/>
      <c r="CC722" s="19"/>
      <c r="CD722" s="19"/>
      <c r="CE722" s="19"/>
      <c r="CF722" s="19"/>
      <c r="CG722" s="19"/>
      <c r="CH722" s="19"/>
      <c r="CI722" s="18"/>
      <c r="CJ722" s="18"/>
      <c r="CN722" s="18"/>
      <c r="CO722" s="19"/>
      <c r="CP722" s="19"/>
      <c r="CQ722" s="19"/>
      <c r="CR722" s="19"/>
      <c r="CS722" s="19"/>
      <c r="CT722" s="19"/>
      <c r="CU722" s="20"/>
      <c r="CV722" s="20"/>
      <c r="DA722" s="18">
        <f t="shared" si="121"/>
        <v>0</v>
      </c>
      <c r="DB722" s="19">
        <f t="shared" si="122"/>
        <v>0</v>
      </c>
      <c r="DC722" s="19">
        <f t="shared" si="123"/>
        <v>0</v>
      </c>
      <c r="DD722" s="19">
        <f t="shared" si="124"/>
        <v>0</v>
      </c>
      <c r="DE722" s="19">
        <f t="shared" si="125"/>
        <v>0</v>
      </c>
      <c r="DF722" s="19">
        <f t="shared" si="126"/>
        <v>0</v>
      </c>
      <c r="DG722" s="19">
        <f t="shared" si="127"/>
        <v>0</v>
      </c>
      <c r="DH722" s="20">
        <f t="shared" si="128"/>
        <v>0</v>
      </c>
      <c r="DI722" s="20">
        <f t="shared" si="129"/>
        <v>0</v>
      </c>
    </row>
    <row r="723" spans="80:113" x14ac:dyDescent="0.3">
      <c r="CB723" s="18"/>
      <c r="CC723" s="19"/>
      <c r="CD723" s="19"/>
      <c r="CE723" s="19"/>
      <c r="CF723" s="19"/>
      <c r="CG723" s="19"/>
      <c r="CH723" s="19"/>
      <c r="CI723" s="18"/>
      <c r="CJ723" s="18"/>
      <c r="CN723" s="18"/>
      <c r="CO723" s="19"/>
      <c r="CP723" s="19"/>
      <c r="CQ723" s="19"/>
      <c r="CR723" s="19"/>
      <c r="CS723" s="19"/>
      <c r="CT723" s="19"/>
      <c r="CU723" s="20"/>
      <c r="CV723" s="20"/>
      <c r="DA723" s="18">
        <f t="shared" si="121"/>
        <v>0</v>
      </c>
      <c r="DB723" s="19">
        <f t="shared" si="122"/>
        <v>0</v>
      </c>
      <c r="DC723" s="19">
        <f t="shared" si="123"/>
        <v>0</v>
      </c>
      <c r="DD723" s="19">
        <f t="shared" si="124"/>
        <v>0</v>
      </c>
      <c r="DE723" s="19">
        <f t="shared" si="125"/>
        <v>0</v>
      </c>
      <c r="DF723" s="19">
        <f t="shared" si="126"/>
        <v>0</v>
      </c>
      <c r="DG723" s="19">
        <f t="shared" si="127"/>
        <v>0</v>
      </c>
      <c r="DH723" s="20">
        <f t="shared" si="128"/>
        <v>0</v>
      </c>
      <c r="DI723" s="20">
        <f t="shared" si="129"/>
        <v>0</v>
      </c>
    </row>
    <row r="724" spans="80:113" x14ac:dyDescent="0.3">
      <c r="CB724" s="18"/>
      <c r="CC724" s="19"/>
      <c r="CD724" s="19"/>
      <c r="CE724" s="19"/>
      <c r="CF724" s="19"/>
      <c r="CG724" s="19"/>
      <c r="CH724" s="19"/>
      <c r="CI724" s="18"/>
      <c r="CJ724" s="18"/>
      <c r="CN724" s="18"/>
      <c r="CO724" s="19"/>
      <c r="CP724" s="19"/>
      <c r="CQ724" s="19"/>
      <c r="CR724" s="19"/>
      <c r="CS724" s="19"/>
      <c r="CT724" s="19"/>
      <c r="CU724" s="20"/>
      <c r="CV724" s="20"/>
      <c r="DA724" s="18">
        <f t="shared" si="121"/>
        <v>0</v>
      </c>
      <c r="DB724" s="19">
        <f t="shared" si="122"/>
        <v>0</v>
      </c>
      <c r="DC724" s="19">
        <f t="shared" si="123"/>
        <v>0</v>
      </c>
      <c r="DD724" s="19">
        <f t="shared" si="124"/>
        <v>0</v>
      </c>
      <c r="DE724" s="19">
        <f t="shared" si="125"/>
        <v>0</v>
      </c>
      <c r="DF724" s="19">
        <f t="shared" si="126"/>
        <v>0</v>
      </c>
      <c r="DG724" s="19">
        <f t="shared" si="127"/>
        <v>0</v>
      </c>
      <c r="DH724" s="20">
        <f t="shared" si="128"/>
        <v>0</v>
      </c>
      <c r="DI724" s="20">
        <f t="shared" si="129"/>
        <v>0</v>
      </c>
    </row>
    <row r="725" spans="80:113" x14ac:dyDescent="0.3">
      <c r="CB725" s="18"/>
      <c r="CC725" s="19"/>
      <c r="CD725" s="19"/>
      <c r="CE725" s="19"/>
      <c r="CF725" s="19"/>
      <c r="CG725" s="19"/>
      <c r="CH725" s="19"/>
      <c r="CI725" s="18"/>
      <c r="CJ725" s="18"/>
      <c r="CN725" s="18"/>
      <c r="CO725" s="19"/>
      <c r="CP725" s="19"/>
      <c r="CQ725" s="19"/>
      <c r="CR725" s="19"/>
      <c r="CS725" s="19"/>
      <c r="CT725" s="19"/>
      <c r="CU725" s="20"/>
      <c r="CV725" s="20"/>
      <c r="DA725" s="18">
        <f t="shared" si="121"/>
        <v>0</v>
      </c>
      <c r="DB725" s="19">
        <f t="shared" si="122"/>
        <v>0</v>
      </c>
      <c r="DC725" s="19">
        <f t="shared" si="123"/>
        <v>0</v>
      </c>
      <c r="DD725" s="19">
        <f t="shared" si="124"/>
        <v>0</v>
      </c>
      <c r="DE725" s="19">
        <f t="shared" si="125"/>
        <v>0</v>
      </c>
      <c r="DF725" s="19">
        <f t="shared" si="126"/>
        <v>0</v>
      </c>
      <c r="DG725" s="19">
        <f t="shared" si="127"/>
        <v>0</v>
      </c>
      <c r="DH725" s="20">
        <f t="shared" si="128"/>
        <v>0</v>
      </c>
      <c r="DI725" s="20">
        <f t="shared" si="129"/>
        <v>0</v>
      </c>
    </row>
    <row r="726" spans="80:113" x14ac:dyDescent="0.3">
      <c r="CB726" s="18"/>
      <c r="CC726" s="19"/>
      <c r="CD726" s="19"/>
      <c r="CE726" s="19"/>
      <c r="CF726" s="19"/>
      <c r="CG726" s="19"/>
      <c r="CH726" s="19"/>
      <c r="CI726" s="18"/>
      <c r="CJ726" s="18"/>
      <c r="CN726" s="18"/>
      <c r="CO726" s="19"/>
      <c r="CP726" s="19"/>
      <c r="CQ726" s="19"/>
      <c r="CR726" s="19"/>
      <c r="CS726" s="19"/>
      <c r="CT726" s="19"/>
      <c r="CU726" s="20"/>
      <c r="CV726" s="20"/>
      <c r="DA726" s="18">
        <f t="shared" si="121"/>
        <v>0</v>
      </c>
      <c r="DB726" s="19">
        <f t="shared" si="122"/>
        <v>0</v>
      </c>
      <c r="DC726" s="19">
        <f t="shared" si="123"/>
        <v>0</v>
      </c>
      <c r="DD726" s="19">
        <f t="shared" si="124"/>
        <v>0</v>
      </c>
      <c r="DE726" s="19">
        <f t="shared" si="125"/>
        <v>0</v>
      </c>
      <c r="DF726" s="19">
        <f t="shared" si="126"/>
        <v>0</v>
      </c>
      <c r="DG726" s="19">
        <f t="shared" si="127"/>
        <v>0</v>
      </c>
      <c r="DH726" s="20">
        <f t="shared" si="128"/>
        <v>0</v>
      </c>
      <c r="DI726" s="20">
        <f t="shared" si="129"/>
        <v>0</v>
      </c>
    </row>
    <row r="727" spans="80:113" x14ac:dyDescent="0.3">
      <c r="CB727" s="18"/>
      <c r="CC727" s="19"/>
      <c r="CD727" s="19"/>
      <c r="CE727" s="19"/>
      <c r="CF727" s="19"/>
      <c r="CG727" s="19"/>
      <c r="CH727" s="19"/>
      <c r="CI727" s="18"/>
      <c r="CJ727" s="18"/>
      <c r="CN727" s="18"/>
      <c r="CO727" s="19"/>
      <c r="CP727" s="19"/>
      <c r="CQ727" s="19"/>
      <c r="CR727" s="19"/>
      <c r="CS727" s="19"/>
      <c r="CT727" s="19"/>
      <c r="CU727" s="20"/>
      <c r="CV727" s="20"/>
      <c r="DA727" s="18">
        <f t="shared" si="121"/>
        <v>0</v>
      </c>
      <c r="DB727" s="19">
        <f t="shared" si="122"/>
        <v>0</v>
      </c>
      <c r="DC727" s="19">
        <f t="shared" si="123"/>
        <v>0</v>
      </c>
      <c r="DD727" s="19">
        <f t="shared" si="124"/>
        <v>0</v>
      </c>
      <c r="DE727" s="19">
        <f t="shared" si="125"/>
        <v>0</v>
      </c>
      <c r="DF727" s="19">
        <f t="shared" si="126"/>
        <v>0</v>
      </c>
      <c r="DG727" s="19">
        <f t="shared" si="127"/>
        <v>0</v>
      </c>
      <c r="DH727" s="20">
        <f t="shared" si="128"/>
        <v>0</v>
      </c>
      <c r="DI727" s="20">
        <f t="shared" si="129"/>
        <v>0</v>
      </c>
    </row>
    <row r="728" spans="80:113" x14ac:dyDescent="0.3">
      <c r="CB728" s="18"/>
      <c r="CC728" s="19"/>
      <c r="CD728" s="19"/>
      <c r="CE728" s="19"/>
      <c r="CF728" s="19"/>
      <c r="CG728" s="19"/>
      <c r="CH728" s="19"/>
      <c r="CI728" s="18"/>
      <c r="CJ728" s="18"/>
      <c r="CN728" s="18"/>
      <c r="CO728" s="19"/>
      <c r="CP728" s="19"/>
      <c r="CQ728" s="19"/>
      <c r="CR728" s="19"/>
      <c r="CS728" s="19"/>
      <c r="CT728" s="19"/>
      <c r="CU728" s="20"/>
      <c r="CV728" s="20"/>
      <c r="DA728" s="18">
        <f t="shared" si="121"/>
        <v>0</v>
      </c>
      <c r="DB728" s="19">
        <f t="shared" si="122"/>
        <v>0</v>
      </c>
      <c r="DC728" s="19">
        <f t="shared" si="123"/>
        <v>0</v>
      </c>
      <c r="DD728" s="19">
        <f t="shared" si="124"/>
        <v>0</v>
      </c>
      <c r="DE728" s="19">
        <f t="shared" si="125"/>
        <v>0</v>
      </c>
      <c r="DF728" s="19">
        <f t="shared" si="126"/>
        <v>0</v>
      </c>
      <c r="DG728" s="19">
        <f t="shared" si="127"/>
        <v>0</v>
      </c>
      <c r="DH728" s="20">
        <f t="shared" si="128"/>
        <v>0</v>
      </c>
      <c r="DI728" s="20">
        <f t="shared" si="129"/>
        <v>0</v>
      </c>
    </row>
    <row r="729" spans="80:113" x14ac:dyDescent="0.3">
      <c r="CB729" s="18"/>
      <c r="CC729" s="19"/>
      <c r="CD729" s="19"/>
      <c r="CE729" s="19"/>
      <c r="CF729" s="19"/>
      <c r="CG729" s="19"/>
      <c r="CH729" s="19"/>
      <c r="CI729" s="18"/>
      <c r="CJ729" s="18"/>
      <c r="CN729" s="18"/>
      <c r="CO729" s="19"/>
      <c r="CP729" s="19"/>
      <c r="CQ729" s="19"/>
      <c r="CR729" s="19"/>
      <c r="CS729" s="19"/>
      <c r="CT729" s="19"/>
      <c r="CU729" s="20"/>
      <c r="CV729" s="20"/>
      <c r="DA729" s="18">
        <f t="shared" si="121"/>
        <v>0</v>
      </c>
      <c r="DB729" s="19">
        <f t="shared" si="122"/>
        <v>0</v>
      </c>
      <c r="DC729" s="19">
        <f t="shared" si="123"/>
        <v>0</v>
      </c>
      <c r="DD729" s="19">
        <f t="shared" si="124"/>
        <v>0</v>
      </c>
      <c r="DE729" s="19">
        <f t="shared" si="125"/>
        <v>0</v>
      </c>
      <c r="DF729" s="19">
        <f t="shared" si="126"/>
        <v>0</v>
      </c>
      <c r="DG729" s="19">
        <f t="shared" si="127"/>
        <v>0</v>
      </c>
      <c r="DH729" s="20">
        <f t="shared" si="128"/>
        <v>0</v>
      </c>
      <c r="DI729" s="20">
        <f t="shared" si="129"/>
        <v>0</v>
      </c>
    </row>
    <row r="730" spans="80:113" x14ac:dyDescent="0.3">
      <c r="CB730" s="18"/>
      <c r="CC730" s="19"/>
      <c r="CD730" s="19"/>
      <c r="CE730" s="19"/>
      <c r="CF730" s="19"/>
      <c r="CG730" s="19"/>
      <c r="CH730" s="19"/>
      <c r="CI730" s="18"/>
      <c r="CJ730" s="18"/>
      <c r="CN730" s="18"/>
      <c r="CO730" s="19"/>
      <c r="CP730" s="19"/>
      <c r="CQ730" s="19"/>
      <c r="CR730" s="19"/>
      <c r="CS730" s="19"/>
      <c r="CT730" s="19"/>
      <c r="CU730" s="20"/>
      <c r="CV730" s="20"/>
      <c r="DA730" s="18">
        <f t="shared" si="121"/>
        <v>0</v>
      </c>
      <c r="DB730" s="19">
        <f t="shared" si="122"/>
        <v>0</v>
      </c>
      <c r="DC730" s="19">
        <f t="shared" si="123"/>
        <v>0</v>
      </c>
      <c r="DD730" s="19">
        <f t="shared" si="124"/>
        <v>0</v>
      </c>
      <c r="DE730" s="19">
        <f t="shared" si="125"/>
        <v>0</v>
      </c>
      <c r="DF730" s="19">
        <f t="shared" si="126"/>
        <v>0</v>
      </c>
      <c r="DG730" s="19">
        <f t="shared" si="127"/>
        <v>0</v>
      </c>
      <c r="DH730" s="20">
        <f t="shared" si="128"/>
        <v>0</v>
      </c>
      <c r="DI730" s="20">
        <f t="shared" si="129"/>
        <v>0</v>
      </c>
    </row>
    <row r="731" spans="80:113" x14ac:dyDescent="0.3">
      <c r="CB731" s="18"/>
      <c r="CC731" s="19"/>
      <c r="CD731" s="19"/>
      <c r="CE731" s="19"/>
      <c r="CF731" s="19"/>
      <c r="CG731" s="19"/>
      <c r="CH731" s="19"/>
      <c r="CI731" s="18"/>
      <c r="CJ731" s="18"/>
      <c r="CN731" s="18"/>
      <c r="CO731" s="19"/>
      <c r="CP731" s="19"/>
      <c r="CQ731" s="19"/>
      <c r="CR731" s="19"/>
      <c r="CS731" s="19"/>
      <c r="CT731" s="19"/>
      <c r="CU731" s="20"/>
      <c r="CV731" s="20"/>
      <c r="DA731" s="18">
        <f t="shared" si="121"/>
        <v>0</v>
      </c>
      <c r="DB731" s="19">
        <f t="shared" si="122"/>
        <v>0</v>
      </c>
      <c r="DC731" s="19">
        <f t="shared" si="123"/>
        <v>0</v>
      </c>
      <c r="DD731" s="19">
        <f t="shared" si="124"/>
        <v>0</v>
      </c>
      <c r="DE731" s="19">
        <f t="shared" si="125"/>
        <v>0</v>
      </c>
      <c r="DF731" s="19">
        <f t="shared" si="126"/>
        <v>0</v>
      </c>
      <c r="DG731" s="19">
        <f t="shared" si="127"/>
        <v>0</v>
      </c>
      <c r="DH731" s="20">
        <f t="shared" si="128"/>
        <v>0</v>
      </c>
      <c r="DI731" s="20">
        <f t="shared" si="129"/>
        <v>0</v>
      </c>
    </row>
    <row r="732" spans="80:113" x14ac:dyDescent="0.3">
      <c r="CB732" s="18"/>
      <c r="CC732" s="19"/>
      <c r="CD732" s="19"/>
      <c r="CE732" s="19"/>
      <c r="CF732" s="19"/>
      <c r="CG732" s="19"/>
      <c r="CH732" s="19"/>
      <c r="CI732" s="18"/>
      <c r="CJ732" s="18"/>
      <c r="CN732" s="18"/>
      <c r="CO732" s="19"/>
      <c r="CP732" s="19"/>
      <c r="CQ732" s="19"/>
      <c r="CR732" s="19"/>
      <c r="CS732" s="19"/>
      <c r="CT732" s="19"/>
      <c r="CU732" s="20"/>
      <c r="CV732" s="20"/>
      <c r="DA732" s="18">
        <f t="shared" si="121"/>
        <v>0</v>
      </c>
      <c r="DB732" s="19">
        <f t="shared" si="122"/>
        <v>0</v>
      </c>
      <c r="DC732" s="19">
        <f t="shared" si="123"/>
        <v>0</v>
      </c>
      <c r="DD732" s="19">
        <f t="shared" si="124"/>
        <v>0</v>
      </c>
      <c r="DE732" s="19">
        <f t="shared" si="125"/>
        <v>0</v>
      </c>
      <c r="DF732" s="19">
        <f t="shared" si="126"/>
        <v>0</v>
      </c>
      <c r="DG732" s="19">
        <f t="shared" si="127"/>
        <v>0</v>
      </c>
      <c r="DH732" s="20">
        <f t="shared" si="128"/>
        <v>0</v>
      </c>
      <c r="DI732" s="20">
        <f t="shared" si="129"/>
        <v>0</v>
      </c>
    </row>
    <row r="733" spans="80:113" x14ac:dyDescent="0.3">
      <c r="CB733" s="18"/>
      <c r="CC733" s="19"/>
      <c r="CD733" s="19"/>
      <c r="CE733" s="19"/>
      <c r="CF733" s="19"/>
      <c r="CG733" s="19"/>
      <c r="CH733" s="19"/>
      <c r="CI733" s="18"/>
      <c r="CJ733" s="18"/>
      <c r="CN733" s="18"/>
      <c r="CO733" s="19"/>
      <c r="CP733" s="19"/>
      <c r="CQ733" s="19"/>
      <c r="CR733" s="19"/>
      <c r="CS733" s="19"/>
      <c r="CT733" s="19"/>
      <c r="CU733" s="20"/>
      <c r="CV733" s="20"/>
      <c r="DA733" s="18">
        <f t="shared" si="121"/>
        <v>0</v>
      </c>
      <c r="DB733" s="19">
        <f t="shared" si="122"/>
        <v>0</v>
      </c>
      <c r="DC733" s="19">
        <f t="shared" si="123"/>
        <v>0</v>
      </c>
      <c r="DD733" s="19">
        <f t="shared" si="124"/>
        <v>0</v>
      </c>
      <c r="DE733" s="19">
        <f t="shared" si="125"/>
        <v>0</v>
      </c>
      <c r="DF733" s="19">
        <f t="shared" si="126"/>
        <v>0</v>
      </c>
      <c r="DG733" s="19">
        <f t="shared" si="127"/>
        <v>0</v>
      </c>
      <c r="DH733" s="20">
        <f t="shared" si="128"/>
        <v>0</v>
      </c>
      <c r="DI733" s="20">
        <f t="shared" si="129"/>
        <v>0</v>
      </c>
    </row>
    <row r="734" spans="80:113" x14ac:dyDescent="0.3">
      <c r="CB734" s="18"/>
      <c r="CC734" s="19"/>
      <c r="CD734" s="19"/>
      <c r="CE734" s="19"/>
      <c r="CF734" s="19"/>
      <c r="CG734" s="19"/>
      <c r="CH734" s="19"/>
      <c r="CI734" s="18"/>
      <c r="CJ734" s="18"/>
      <c r="CN734" s="18"/>
      <c r="CO734" s="19"/>
      <c r="CP734" s="19"/>
      <c r="CQ734" s="19"/>
      <c r="CR734" s="19"/>
      <c r="CS734" s="19"/>
      <c r="CT734" s="19"/>
      <c r="CU734" s="20"/>
      <c r="CV734" s="20"/>
      <c r="DA734" s="18">
        <f t="shared" si="121"/>
        <v>0</v>
      </c>
      <c r="DB734" s="19">
        <f t="shared" si="122"/>
        <v>0</v>
      </c>
      <c r="DC734" s="19">
        <f t="shared" si="123"/>
        <v>0</v>
      </c>
      <c r="DD734" s="19">
        <f t="shared" si="124"/>
        <v>0</v>
      </c>
      <c r="DE734" s="19">
        <f t="shared" si="125"/>
        <v>0</v>
      </c>
      <c r="DF734" s="19">
        <f t="shared" si="126"/>
        <v>0</v>
      </c>
      <c r="DG734" s="19">
        <f t="shared" si="127"/>
        <v>0</v>
      </c>
      <c r="DH734" s="20">
        <f t="shared" si="128"/>
        <v>0</v>
      </c>
      <c r="DI734" s="20">
        <f t="shared" si="129"/>
        <v>0</v>
      </c>
    </row>
    <row r="735" spans="80:113" x14ac:dyDescent="0.3">
      <c r="CB735" s="18"/>
      <c r="CC735" s="19"/>
      <c r="CD735" s="19"/>
      <c r="CE735" s="19"/>
      <c r="CF735" s="19"/>
      <c r="CG735" s="19"/>
      <c r="CH735" s="19"/>
      <c r="CI735" s="18"/>
      <c r="CJ735" s="18"/>
      <c r="CN735" s="18"/>
      <c r="CO735" s="19"/>
      <c r="CP735" s="19"/>
      <c r="CQ735" s="19"/>
      <c r="CR735" s="19"/>
      <c r="CS735" s="19"/>
      <c r="CT735" s="19"/>
      <c r="CU735" s="20"/>
      <c r="CV735" s="20"/>
      <c r="DA735" s="18">
        <f t="shared" si="121"/>
        <v>0</v>
      </c>
      <c r="DB735" s="19">
        <f t="shared" si="122"/>
        <v>0</v>
      </c>
      <c r="DC735" s="19">
        <f t="shared" si="123"/>
        <v>0</v>
      </c>
      <c r="DD735" s="19">
        <f t="shared" si="124"/>
        <v>0</v>
      </c>
      <c r="DE735" s="19">
        <f t="shared" si="125"/>
        <v>0</v>
      </c>
      <c r="DF735" s="19">
        <f t="shared" si="126"/>
        <v>0</v>
      </c>
      <c r="DG735" s="19">
        <f t="shared" si="127"/>
        <v>0</v>
      </c>
      <c r="DH735" s="20">
        <f t="shared" si="128"/>
        <v>0</v>
      </c>
      <c r="DI735" s="20">
        <f t="shared" si="129"/>
        <v>0</v>
      </c>
    </row>
    <row r="736" spans="80:113" x14ac:dyDescent="0.3">
      <c r="CB736" s="18"/>
      <c r="CC736" s="19"/>
      <c r="CD736" s="19"/>
      <c r="CE736" s="19"/>
      <c r="CF736" s="19"/>
      <c r="CG736" s="19"/>
      <c r="CH736" s="19"/>
      <c r="CI736" s="18"/>
      <c r="CJ736" s="18"/>
      <c r="CN736" s="18"/>
      <c r="CO736" s="19"/>
      <c r="CP736" s="19"/>
      <c r="CQ736" s="19"/>
      <c r="CR736" s="19"/>
      <c r="CS736" s="19"/>
      <c r="CT736" s="19"/>
      <c r="CU736" s="20"/>
      <c r="CV736" s="20"/>
      <c r="DA736" s="18">
        <f t="shared" si="121"/>
        <v>0</v>
      </c>
      <c r="DB736" s="19">
        <f t="shared" si="122"/>
        <v>0</v>
      </c>
      <c r="DC736" s="19">
        <f t="shared" si="123"/>
        <v>0</v>
      </c>
      <c r="DD736" s="19">
        <f t="shared" si="124"/>
        <v>0</v>
      </c>
      <c r="DE736" s="19">
        <f t="shared" si="125"/>
        <v>0</v>
      </c>
      <c r="DF736" s="19">
        <f t="shared" si="126"/>
        <v>0</v>
      </c>
      <c r="DG736" s="19">
        <f t="shared" si="127"/>
        <v>0</v>
      </c>
      <c r="DH736" s="20">
        <f t="shared" si="128"/>
        <v>0</v>
      </c>
      <c r="DI736" s="20">
        <f t="shared" si="129"/>
        <v>0</v>
      </c>
    </row>
    <row r="737" spans="80:113" x14ac:dyDescent="0.3">
      <c r="CB737" s="18"/>
      <c r="CC737" s="19"/>
      <c r="CD737" s="19"/>
      <c r="CE737" s="19"/>
      <c r="CF737" s="19"/>
      <c r="CG737" s="19"/>
      <c r="CH737" s="19"/>
      <c r="CI737" s="18"/>
      <c r="CJ737" s="18"/>
      <c r="CN737" s="18"/>
      <c r="CO737" s="19"/>
      <c r="CP737" s="19"/>
      <c r="CQ737" s="19"/>
      <c r="CR737" s="19"/>
      <c r="CS737" s="19"/>
      <c r="CT737" s="19"/>
      <c r="CU737" s="20"/>
      <c r="CV737" s="20"/>
      <c r="DA737" s="18">
        <f t="shared" si="121"/>
        <v>0</v>
      </c>
      <c r="DB737" s="19">
        <f t="shared" si="122"/>
        <v>0</v>
      </c>
      <c r="DC737" s="19">
        <f t="shared" si="123"/>
        <v>0</v>
      </c>
      <c r="DD737" s="19">
        <f t="shared" si="124"/>
        <v>0</v>
      </c>
      <c r="DE737" s="19">
        <f t="shared" si="125"/>
        <v>0</v>
      </c>
      <c r="DF737" s="19">
        <f t="shared" si="126"/>
        <v>0</v>
      </c>
      <c r="DG737" s="19">
        <f t="shared" si="127"/>
        <v>0</v>
      </c>
      <c r="DH737" s="20">
        <f t="shared" si="128"/>
        <v>0</v>
      </c>
      <c r="DI737" s="20">
        <f t="shared" si="129"/>
        <v>0</v>
      </c>
    </row>
    <row r="738" spans="80:113" x14ac:dyDescent="0.3">
      <c r="CB738" s="18"/>
      <c r="CC738" s="19"/>
      <c r="CD738" s="19"/>
      <c r="CE738" s="19"/>
      <c r="CF738" s="19"/>
      <c r="CG738" s="19"/>
      <c r="CH738" s="19"/>
      <c r="CI738" s="18"/>
      <c r="CJ738" s="18"/>
      <c r="CN738" s="18"/>
      <c r="CO738" s="19"/>
      <c r="CP738" s="19"/>
      <c r="CQ738" s="19"/>
      <c r="CR738" s="19"/>
      <c r="CS738" s="19"/>
      <c r="CT738" s="19"/>
      <c r="CU738" s="20"/>
      <c r="CV738" s="20"/>
      <c r="DA738" s="18">
        <f t="shared" si="121"/>
        <v>0</v>
      </c>
      <c r="DB738" s="19">
        <f t="shared" si="122"/>
        <v>0</v>
      </c>
      <c r="DC738" s="19">
        <f t="shared" si="123"/>
        <v>0</v>
      </c>
      <c r="DD738" s="19">
        <f t="shared" si="124"/>
        <v>0</v>
      </c>
      <c r="DE738" s="19">
        <f t="shared" si="125"/>
        <v>0</v>
      </c>
      <c r="DF738" s="19">
        <f t="shared" si="126"/>
        <v>0</v>
      </c>
      <c r="DG738" s="19">
        <f t="shared" si="127"/>
        <v>0</v>
      </c>
      <c r="DH738" s="20">
        <f t="shared" si="128"/>
        <v>0</v>
      </c>
      <c r="DI738" s="20">
        <f t="shared" si="129"/>
        <v>0</v>
      </c>
    </row>
    <row r="739" spans="80:113" x14ac:dyDescent="0.3">
      <c r="CB739" s="18"/>
      <c r="CC739" s="19"/>
      <c r="CD739" s="19"/>
      <c r="CE739" s="19"/>
      <c r="CF739" s="19"/>
      <c r="CG739" s="19"/>
      <c r="CH739" s="19"/>
      <c r="CI739" s="18"/>
      <c r="CJ739" s="18"/>
      <c r="CN739" s="18"/>
      <c r="CO739" s="19"/>
      <c r="CP739" s="19"/>
      <c r="CQ739" s="19"/>
      <c r="CR739" s="19"/>
      <c r="CS739" s="19"/>
      <c r="CT739" s="19"/>
      <c r="CU739" s="20"/>
      <c r="CV739" s="20"/>
      <c r="DA739" s="18">
        <f t="shared" si="121"/>
        <v>0</v>
      </c>
      <c r="DB739" s="19">
        <f t="shared" si="122"/>
        <v>0</v>
      </c>
      <c r="DC739" s="19">
        <f t="shared" si="123"/>
        <v>0</v>
      </c>
      <c r="DD739" s="19">
        <f t="shared" si="124"/>
        <v>0</v>
      </c>
      <c r="DE739" s="19">
        <f t="shared" si="125"/>
        <v>0</v>
      </c>
      <c r="DF739" s="19">
        <f t="shared" si="126"/>
        <v>0</v>
      </c>
      <c r="DG739" s="19">
        <f t="shared" si="127"/>
        <v>0</v>
      </c>
      <c r="DH739" s="20">
        <f t="shared" si="128"/>
        <v>0</v>
      </c>
      <c r="DI739" s="20">
        <f t="shared" si="129"/>
        <v>0</v>
      </c>
    </row>
    <row r="740" spans="80:113" x14ac:dyDescent="0.3">
      <c r="CB740" s="18"/>
      <c r="CC740" s="19"/>
      <c r="CD740" s="19"/>
      <c r="CE740" s="19"/>
      <c r="CF740" s="19"/>
      <c r="CG740" s="19"/>
      <c r="CH740" s="19"/>
      <c r="CI740" s="18"/>
      <c r="CJ740" s="18"/>
      <c r="CN740" s="18"/>
      <c r="CO740" s="19"/>
      <c r="CP740" s="19"/>
      <c r="CQ740" s="19"/>
      <c r="CR740" s="19"/>
      <c r="CS740" s="19"/>
      <c r="CT740" s="19"/>
      <c r="CU740" s="20"/>
      <c r="CV740" s="20"/>
      <c r="DA740" s="18">
        <f t="shared" si="121"/>
        <v>0</v>
      </c>
      <c r="DB740" s="19">
        <f t="shared" si="122"/>
        <v>0</v>
      </c>
      <c r="DC740" s="19">
        <f t="shared" si="123"/>
        <v>0</v>
      </c>
      <c r="DD740" s="19">
        <f t="shared" si="124"/>
        <v>0</v>
      </c>
      <c r="DE740" s="19">
        <f t="shared" si="125"/>
        <v>0</v>
      </c>
      <c r="DF740" s="19">
        <f t="shared" si="126"/>
        <v>0</v>
      </c>
      <c r="DG740" s="19">
        <f t="shared" si="127"/>
        <v>0</v>
      </c>
      <c r="DH740" s="20">
        <f t="shared" si="128"/>
        <v>0</v>
      </c>
      <c r="DI740" s="20">
        <f t="shared" si="129"/>
        <v>0</v>
      </c>
    </row>
    <row r="741" spans="80:113" x14ac:dyDescent="0.3">
      <c r="CB741" s="18"/>
      <c r="CC741" s="19"/>
      <c r="CD741" s="19"/>
      <c r="CE741" s="19"/>
      <c r="CF741" s="19"/>
      <c r="CG741" s="19"/>
      <c r="CH741" s="19"/>
      <c r="CI741" s="18"/>
      <c r="CJ741" s="18"/>
      <c r="CN741" s="18"/>
      <c r="CO741" s="19"/>
      <c r="CP741" s="19"/>
      <c r="CQ741" s="19"/>
      <c r="CR741" s="19"/>
      <c r="CS741" s="19"/>
      <c r="CT741" s="19"/>
      <c r="CU741" s="20"/>
      <c r="CV741" s="20"/>
      <c r="DA741" s="18">
        <f t="shared" si="121"/>
        <v>0</v>
      </c>
      <c r="DB741" s="19">
        <f t="shared" si="122"/>
        <v>0</v>
      </c>
      <c r="DC741" s="19">
        <f t="shared" si="123"/>
        <v>0</v>
      </c>
      <c r="DD741" s="19">
        <f t="shared" si="124"/>
        <v>0</v>
      </c>
      <c r="DE741" s="19">
        <f t="shared" si="125"/>
        <v>0</v>
      </c>
      <c r="DF741" s="19">
        <f t="shared" si="126"/>
        <v>0</v>
      </c>
      <c r="DG741" s="19">
        <f t="shared" si="127"/>
        <v>0</v>
      </c>
      <c r="DH741" s="20">
        <f t="shared" si="128"/>
        <v>0</v>
      </c>
      <c r="DI741" s="20">
        <f t="shared" si="129"/>
        <v>0</v>
      </c>
    </row>
    <row r="742" spans="80:113" x14ac:dyDescent="0.3">
      <c r="CB742" s="18"/>
      <c r="CC742" s="19"/>
      <c r="CD742" s="19"/>
      <c r="CE742" s="19"/>
      <c r="CF742" s="19"/>
      <c r="CG742" s="19"/>
      <c r="CH742" s="19"/>
      <c r="CI742" s="18"/>
      <c r="CJ742" s="18"/>
      <c r="CN742" s="18"/>
      <c r="CO742" s="19"/>
      <c r="CP742" s="19"/>
      <c r="CQ742" s="19"/>
      <c r="CR742" s="19"/>
      <c r="CS742" s="19"/>
      <c r="CT742" s="19"/>
      <c r="CU742" s="20"/>
      <c r="CV742" s="20"/>
      <c r="DA742" s="18">
        <f t="shared" si="121"/>
        <v>0</v>
      </c>
      <c r="DB742" s="19">
        <f t="shared" si="122"/>
        <v>0</v>
      </c>
      <c r="DC742" s="19">
        <f t="shared" si="123"/>
        <v>0</v>
      </c>
      <c r="DD742" s="19">
        <f t="shared" si="124"/>
        <v>0</v>
      </c>
      <c r="DE742" s="19">
        <f t="shared" si="125"/>
        <v>0</v>
      </c>
      <c r="DF742" s="19">
        <f t="shared" si="126"/>
        <v>0</v>
      </c>
      <c r="DG742" s="19">
        <f t="shared" si="127"/>
        <v>0</v>
      </c>
      <c r="DH742" s="20">
        <f t="shared" si="128"/>
        <v>0</v>
      </c>
      <c r="DI742" s="20">
        <f t="shared" si="129"/>
        <v>0</v>
      </c>
    </row>
    <row r="743" spans="80:113" x14ac:dyDescent="0.3">
      <c r="CB743" s="18"/>
      <c r="CC743" s="19"/>
      <c r="CD743" s="19"/>
      <c r="CE743" s="19"/>
      <c r="CF743" s="19"/>
      <c r="CG743" s="19"/>
      <c r="CH743" s="19"/>
      <c r="CI743" s="18"/>
      <c r="CJ743" s="18"/>
      <c r="CN743" s="18"/>
      <c r="CO743" s="19"/>
      <c r="CP743" s="19"/>
      <c r="CQ743" s="19"/>
      <c r="CR743" s="19"/>
      <c r="CS743" s="19"/>
      <c r="CT743" s="19"/>
      <c r="CU743" s="20"/>
      <c r="CV743" s="20"/>
      <c r="DA743" s="18">
        <f t="shared" si="121"/>
        <v>0</v>
      </c>
      <c r="DB743" s="19">
        <f t="shared" si="122"/>
        <v>0</v>
      </c>
      <c r="DC743" s="19">
        <f t="shared" si="123"/>
        <v>0</v>
      </c>
      <c r="DD743" s="19">
        <f t="shared" si="124"/>
        <v>0</v>
      </c>
      <c r="DE743" s="19">
        <f t="shared" si="125"/>
        <v>0</v>
      </c>
      <c r="DF743" s="19">
        <f t="shared" si="126"/>
        <v>0</v>
      </c>
      <c r="DG743" s="19">
        <f t="shared" si="127"/>
        <v>0</v>
      </c>
      <c r="DH743" s="20">
        <f t="shared" si="128"/>
        <v>0</v>
      </c>
      <c r="DI743" s="20">
        <f t="shared" si="129"/>
        <v>0</v>
      </c>
    </row>
    <row r="744" spans="80:113" x14ac:dyDescent="0.3">
      <c r="CB744" s="18"/>
      <c r="CC744" s="19"/>
      <c r="CD744" s="19"/>
      <c r="CE744" s="19"/>
      <c r="CF744" s="19"/>
      <c r="CG744" s="19"/>
      <c r="CH744" s="19"/>
      <c r="CI744" s="18"/>
      <c r="CJ744" s="18"/>
      <c r="CN744" s="18"/>
      <c r="CO744" s="19"/>
      <c r="CP744" s="19"/>
      <c r="CQ744" s="19"/>
      <c r="CR744" s="19"/>
      <c r="CS744" s="19"/>
      <c r="CT744" s="19"/>
      <c r="CU744" s="20"/>
      <c r="CV744" s="20"/>
      <c r="DA744" s="18">
        <f t="shared" si="121"/>
        <v>0</v>
      </c>
      <c r="DB744" s="19">
        <f t="shared" si="122"/>
        <v>0</v>
      </c>
      <c r="DC744" s="19">
        <f t="shared" si="123"/>
        <v>0</v>
      </c>
      <c r="DD744" s="19">
        <f t="shared" si="124"/>
        <v>0</v>
      </c>
      <c r="DE744" s="19">
        <f t="shared" si="125"/>
        <v>0</v>
      </c>
      <c r="DF744" s="19">
        <f t="shared" si="126"/>
        <v>0</v>
      </c>
      <c r="DG744" s="19">
        <f t="shared" si="127"/>
        <v>0</v>
      </c>
      <c r="DH744" s="20">
        <f t="shared" si="128"/>
        <v>0</v>
      </c>
      <c r="DI744" s="20">
        <f t="shared" si="129"/>
        <v>0</v>
      </c>
    </row>
    <row r="745" spans="80:113" x14ac:dyDescent="0.3">
      <c r="CB745" s="18"/>
      <c r="CC745" s="19"/>
      <c r="CD745" s="19"/>
      <c r="CE745" s="19"/>
      <c r="CF745" s="19"/>
      <c r="CG745" s="19"/>
      <c r="CH745" s="19"/>
      <c r="CI745" s="18"/>
      <c r="CJ745" s="18"/>
      <c r="CN745" s="18"/>
      <c r="CO745" s="19"/>
      <c r="CP745" s="19"/>
      <c r="CQ745" s="19"/>
      <c r="CR745" s="19"/>
      <c r="CS745" s="19"/>
      <c r="CT745" s="19"/>
      <c r="CU745" s="20"/>
      <c r="CV745" s="20"/>
      <c r="DA745" s="18">
        <f t="shared" si="121"/>
        <v>0</v>
      </c>
      <c r="DB745" s="19">
        <f t="shared" si="122"/>
        <v>0</v>
      </c>
      <c r="DC745" s="19">
        <f t="shared" si="123"/>
        <v>0</v>
      </c>
      <c r="DD745" s="19">
        <f t="shared" si="124"/>
        <v>0</v>
      </c>
      <c r="DE745" s="19">
        <f t="shared" si="125"/>
        <v>0</v>
      </c>
      <c r="DF745" s="19">
        <f t="shared" si="126"/>
        <v>0</v>
      </c>
      <c r="DG745" s="19">
        <f t="shared" si="127"/>
        <v>0</v>
      </c>
      <c r="DH745" s="20">
        <f t="shared" si="128"/>
        <v>0</v>
      </c>
      <c r="DI745" s="20">
        <f t="shared" si="129"/>
        <v>0</v>
      </c>
    </row>
    <row r="746" spans="80:113" x14ac:dyDescent="0.3">
      <c r="CB746" s="18"/>
      <c r="CC746" s="19"/>
      <c r="CD746" s="19"/>
      <c r="CE746" s="19"/>
      <c r="CF746" s="19"/>
      <c r="CG746" s="19"/>
      <c r="CH746" s="19"/>
      <c r="CI746" s="18"/>
      <c r="CJ746" s="18"/>
      <c r="CN746" s="18"/>
      <c r="CO746" s="19"/>
      <c r="CP746" s="19"/>
      <c r="CQ746" s="19"/>
      <c r="CR746" s="19"/>
      <c r="CS746" s="19"/>
      <c r="CT746" s="19"/>
      <c r="CU746" s="20"/>
      <c r="CV746" s="20"/>
      <c r="DA746" s="18">
        <f t="shared" si="121"/>
        <v>0</v>
      </c>
      <c r="DB746" s="19">
        <f t="shared" si="122"/>
        <v>0</v>
      </c>
      <c r="DC746" s="19">
        <f t="shared" si="123"/>
        <v>0</v>
      </c>
      <c r="DD746" s="19">
        <f t="shared" si="124"/>
        <v>0</v>
      </c>
      <c r="DE746" s="19">
        <f t="shared" si="125"/>
        <v>0</v>
      </c>
      <c r="DF746" s="19">
        <f t="shared" si="126"/>
        <v>0</v>
      </c>
      <c r="DG746" s="19">
        <f t="shared" si="127"/>
        <v>0</v>
      </c>
      <c r="DH746" s="20">
        <f t="shared" si="128"/>
        <v>0</v>
      </c>
      <c r="DI746" s="20">
        <f t="shared" si="129"/>
        <v>0</v>
      </c>
    </row>
    <row r="747" spans="80:113" x14ac:dyDescent="0.3">
      <c r="CB747" s="18"/>
      <c r="CC747" s="19"/>
      <c r="CD747" s="19"/>
      <c r="CE747" s="19"/>
      <c r="CF747" s="19"/>
      <c r="CG747" s="19"/>
      <c r="CH747" s="19"/>
      <c r="CI747" s="18"/>
      <c r="CJ747" s="18"/>
      <c r="CN747" s="18"/>
      <c r="CO747" s="19"/>
      <c r="CP747" s="19"/>
      <c r="CQ747" s="19"/>
      <c r="CR747" s="19"/>
      <c r="CS747" s="19"/>
      <c r="CT747" s="19"/>
      <c r="CU747" s="20"/>
      <c r="CV747" s="20"/>
      <c r="DA747" s="18">
        <f t="shared" si="121"/>
        <v>0</v>
      </c>
      <c r="DB747" s="19">
        <f t="shared" si="122"/>
        <v>0</v>
      </c>
      <c r="DC747" s="19">
        <f t="shared" si="123"/>
        <v>0</v>
      </c>
      <c r="DD747" s="19">
        <f t="shared" si="124"/>
        <v>0</v>
      </c>
      <c r="DE747" s="19">
        <f t="shared" si="125"/>
        <v>0</v>
      </c>
      <c r="DF747" s="19">
        <f t="shared" si="126"/>
        <v>0</v>
      </c>
      <c r="DG747" s="19">
        <f t="shared" si="127"/>
        <v>0</v>
      </c>
      <c r="DH747" s="20">
        <f t="shared" si="128"/>
        <v>0</v>
      </c>
      <c r="DI747" s="20">
        <f t="shared" si="129"/>
        <v>0</v>
      </c>
    </row>
    <row r="748" spans="80:113" x14ac:dyDescent="0.3">
      <c r="CB748" s="18"/>
      <c r="CC748" s="19"/>
      <c r="CD748" s="19"/>
      <c r="CE748" s="19"/>
      <c r="CF748" s="19"/>
      <c r="CG748" s="19"/>
      <c r="CH748" s="19"/>
      <c r="CI748" s="18"/>
      <c r="CJ748" s="18"/>
      <c r="CN748" s="18"/>
      <c r="CO748" s="19"/>
      <c r="CP748" s="19"/>
      <c r="CQ748" s="19"/>
      <c r="CR748" s="19"/>
      <c r="CS748" s="19"/>
      <c r="CT748" s="19"/>
      <c r="CU748" s="20"/>
      <c r="CV748" s="20"/>
      <c r="DA748" s="18">
        <f t="shared" si="121"/>
        <v>0</v>
      </c>
      <c r="DB748" s="19">
        <f t="shared" si="122"/>
        <v>0</v>
      </c>
      <c r="DC748" s="19">
        <f t="shared" si="123"/>
        <v>0</v>
      </c>
      <c r="DD748" s="19">
        <f t="shared" si="124"/>
        <v>0</v>
      </c>
      <c r="DE748" s="19">
        <f t="shared" si="125"/>
        <v>0</v>
      </c>
      <c r="DF748" s="19">
        <f t="shared" si="126"/>
        <v>0</v>
      </c>
      <c r="DG748" s="19">
        <f t="shared" si="127"/>
        <v>0</v>
      </c>
      <c r="DH748" s="20">
        <f t="shared" si="128"/>
        <v>0</v>
      </c>
      <c r="DI748" s="20">
        <f t="shared" si="129"/>
        <v>0</v>
      </c>
    </row>
    <row r="749" spans="80:113" x14ac:dyDescent="0.3">
      <c r="CB749" s="18"/>
      <c r="CC749" s="19"/>
      <c r="CD749" s="19"/>
      <c r="CE749" s="19"/>
      <c r="CF749" s="19"/>
      <c r="CG749" s="19"/>
      <c r="CH749" s="19"/>
      <c r="CI749" s="18"/>
      <c r="CJ749" s="18"/>
      <c r="CN749" s="18"/>
      <c r="CO749" s="19"/>
      <c r="CP749" s="19"/>
      <c r="CQ749" s="19"/>
      <c r="CR749" s="19"/>
      <c r="CS749" s="19"/>
      <c r="CT749" s="19"/>
      <c r="CU749" s="20"/>
      <c r="CV749" s="20"/>
      <c r="DA749" s="18">
        <f t="shared" si="121"/>
        <v>0</v>
      </c>
      <c r="DB749" s="19">
        <f t="shared" si="122"/>
        <v>0</v>
      </c>
      <c r="DC749" s="19">
        <f t="shared" si="123"/>
        <v>0</v>
      </c>
      <c r="DD749" s="19">
        <f t="shared" si="124"/>
        <v>0</v>
      </c>
      <c r="DE749" s="19">
        <f t="shared" si="125"/>
        <v>0</v>
      </c>
      <c r="DF749" s="19">
        <f t="shared" si="126"/>
        <v>0</v>
      </c>
      <c r="DG749" s="19">
        <f t="shared" si="127"/>
        <v>0</v>
      </c>
      <c r="DH749" s="20">
        <f t="shared" si="128"/>
        <v>0</v>
      </c>
      <c r="DI749" s="20">
        <f t="shared" si="129"/>
        <v>0</v>
      </c>
    </row>
    <row r="750" spans="80:113" x14ac:dyDescent="0.3">
      <c r="CB750" s="18"/>
      <c r="CC750" s="19"/>
      <c r="CD750" s="19"/>
      <c r="CE750" s="19"/>
      <c r="CF750" s="19"/>
      <c r="CG750" s="19"/>
      <c r="CH750" s="19"/>
      <c r="CI750" s="18"/>
      <c r="CJ750" s="18"/>
      <c r="CN750" s="18"/>
      <c r="CO750" s="19"/>
      <c r="CP750" s="19"/>
      <c r="CQ750" s="19"/>
      <c r="CR750" s="19"/>
      <c r="CS750" s="19"/>
      <c r="CT750" s="19"/>
      <c r="CU750" s="20"/>
      <c r="CV750" s="20"/>
      <c r="DA750" s="18">
        <f t="shared" si="121"/>
        <v>0</v>
      </c>
      <c r="DB750" s="19">
        <f t="shared" si="122"/>
        <v>0</v>
      </c>
      <c r="DC750" s="19">
        <f t="shared" si="123"/>
        <v>0</v>
      </c>
      <c r="DD750" s="19">
        <f t="shared" si="124"/>
        <v>0</v>
      </c>
      <c r="DE750" s="19">
        <f t="shared" si="125"/>
        <v>0</v>
      </c>
      <c r="DF750" s="19">
        <f t="shared" si="126"/>
        <v>0</v>
      </c>
      <c r="DG750" s="19">
        <f t="shared" si="127"/>
        <v>0</v>
      </c>
      <c r="DH750" s="20">
        <f t="shared" si="128"/>
        <v>0</v>
      </c>
      <c r="DI750" s="20">
        <f t="shared" si="129"/>
        <v>0</v>
      </c>
    </row>
    <row r="751" spans="80:113" x14ac:dyDescent="0.3">
      <c r="CB751" s="18"/>
      <c r="CC751" s="19"/>
      <c r="CD751" s="19"/>
      <c r="CE751" s="19"/>
      <c r="CF751" s="19"/>
      <c r="CG751" s="19"/>
      <c r="CH751" s="19"/>
      <c r="CI751" s="18"/>
      <c r="CJ751" s="18"/>
      <c r="CN751" s="18"/>
      <c r="CO751" s="19"/>
      <c r="CP751" s="19"/>
      <c r="CQ751" s="19"/>
      <c r="CR751" s="19"/>
      <c r="CS751" s="19"/>
      <c r="CT751" s="19"/>
      <c r="CU751" s="20"/>
      <c r="CV751" s="20"/>
      <c r="DA751" s="18">
        <f t="shared" si="121"/>
        <v>0</v>
      </c>
      <c r="DB751" s="19">
        <f t="shared" si="122"/>
        <v>0</v>
      </c>
      <c r="DC751" s="19">
        <f t="shared" si="123"/>
        <v>0</v>
      </c>
      <c r="DD751" s="19">
        <f t="shared" si="124"/>
        <v>0</v>
      </c>
      <c r="DE751" s="19">
        <f t="shared" si="125"/>
        <v>0</v>
      </c>
      <c r="DF751" s="19">
        <f t="shared" si="126"/>
        <v>0</v>
      </c>
      <c r="DG751" s="19">
        <f t="shared" si="127"/>
        <v>0</v>
      </c>
      <c r="DH751" s="20">
        <f t="shared" si="128"/>
        <v>0</v>
      </c>
      <c r="DI751" s="20">
        <f t="shared" si="129"/>
        <v>0</v>
      </c>
    </row>
    <row r="752" spans="80:113" x14ac:dyDescent="0.3">
      <c r="CB752" s="18"/>
      <c r="CC752" s="19"/>
      <c r="CD752" s="19"/>
      <c r="CE752" s="19"/>
      <c r="CF752" s="19"/>
      <c r="CG752" s="19"/>
      <c r="CH752" s="19"/>
      <c r="CI752" s="18"/>
      <c r="CJ752" s="18"/>
      <c r="CN752" s="18"/>
      <c r="CO752" s="19"/>
      <c r="CP752" s="19"/>
      <c r="CQ752" s="19"/>
      <c r="CR752" s="19"/>
      <c r="CS752" s="19"/>
      <c r="CT752" s="19"/>
      <c r="CU752" s="20"/>
      <c r="CV752" s="20"/>
      <c r="DA752" s="18">
        <f t="shared" si="121"/>
        <v>0</v>
      </c>
      <c r="DB752" s="19">
        <f t="shared" si="122"/>
        <v>0</v>
      </c>
      <c r="DC752" s="19">
        <f t="shared" si="123"/>
        <v>0</v>
      </c>
      <c r="DD752" s="19">
        <f t="shared" si="124"/>
        <v>0</v>
      </c>
      <c r="DE752" s="19">
        <f t="shared" si="125"/>
        <v>0</v>
      </c>
      <c r="DF752" s="19">
        <f t="shared" si="126"/>
        <v>0</v>
      </c>
      <c r="DG752" s="19">
        <f t="shared" si="127"/>
        <v>0</v>
      </c>
      <c r="DH752" s="20">
        <f t="shared" si="128"/>
        <v>0</v>
      </c>
      <c r="DI752" s="20">
        <f t="shared" si="129"/>
        <v>0</v>
      </c>
    </row>
    <row r="753" spans="80:113" x14ac:dyDescent="0.3">
      <c r="CB753" s="18"/>
      <c r="CC753" s="19"/>
      <c r="CD753" s="19"/>
      <c r="CE753" s="19"/>
      <c r="CF753" s="19"/>
      <c r="CG753" s="19"/>
      <c r="CH753" s="19"/>
      <c r="CI753" s="18"/>
      <c r="CJ753" s="18"/>
      <c r="CN753" s="18"/>
      <c r="CO753" s="19"/>
      <c r="CP753" s="19"/>
      <c r="CQ753" s="19"/>
      <c r="CR753" s="19"/>
      <c r="CS753" s="19"/>
      <c r="CT753" s="19"/>
      <c r="CU753" s="20"/>
      <c r="CV753" s="20"/>
      <c r="DA753" s="18">
        <f t="shared" si="121"/>
        <v>0</v>
      </c>
      <c r="DB753" s="19">
        <f t="shared" si="122"/>
        <v>0</v>
      </c>
      <c r="DC753" s="19">
        <f t="shared" si="123"/>
        <v>0</v>
      </c>
      <c r="DD753" s="19">
        <f t="shared" si="124"/>
        <v>0</v>
      </c>
      <c r="DE753" s="19">
        <f t="shared" si="125"/>
        <v>0</v>
      </c>
      <c r="DF753" s="19">
        <f t="shared" si="126"/>
        <v>0</v>
      </c>
      <c r="DG753" s="19">
        <f t="shared" si="127"/>
        <v>0</v>
      </c>
      <c r="DH753" s="20">
        <f t="shared" si="128"/>
        <v>0</v>
      </c>
      <c r="DI753" s="20">
        <f t="shared" si="129"/>
        <v>0</v>
      </c>
    </row>
    <row r="754" spans="80:113" x14ac:dyDescent="0.3">
      <c r="CB754" s="18"/>
      <c r="CC754" s="19"/>
      <c r="CD754" s="19"/>
      <c r="CE754" s="19"/>
      <c r="CF754" s="19"/>
      <c r="CG754" s="19"/>
      <c r="CH754" s="19"/>
      <c r="CI754" s="18"/>
      <c r="CJ754" s="18"/>
      <c r="CN754" s="18"/>
      <c r="CO754" s="19"/>
      <c r="CP754" s="19"/>
      <c r="CQ754" s="19"/>
      <c r="CR754" s="19"/>
      <c r="CS754" s="19"/>
      <c r="CT754" s="19"/>
      <c r="CU754" s="20"/>
      <c r="CV754" s="20"/>
      <c r="DA754" s="18">
        <f t="shared" si="121"/>
        <v>0</v>
      </c>
      <c r="DB754" s="19">
        <f t="shared" si="122"/>
        <v>0</v>
      </c>
      <c r="DC754" s="19">
        <f t="shared" si="123"/>
        <v>0</v>
      </c>
      <c r="DD754" s="19">
        <f t="shared" si="124"/>
        <v>0</v>
      </c>
      <c r="DE754" s="19">
        <f t="shared" si="125"/>
        <v>0</v>
      </c>
      <c r="DF754" s="19">
        <f t="shared" si="126"/>
        <v>0</v>
      </c>
      <c r="DG754" s="19">
        <f t="shared" si="127"/>
        <v>0</v>
      </c>
      <c r="DH754" s="20">
        <f t="shared" si="128"/>
        <v>0</v>
      </c>
      <c r="DI754" s="20">
        <f t="shared" si="129"/>
        <v>0</v>
      </c>
    </row>
    <row r="755" spans="80:113" x14ac:dyDescent="0.3">
      <c r="CB755" s="18"/>
      <c r="CC755" s="19"/>
      <c r="CD755" s="19"/>
      <c r="CE755" s="19"/>
      <c r="CF755" s="19"/>
      <c r="CG755" s="19"/>
      <c r="CH755" s="19"/>
      <c r="CI755" s="18"/>
      <c r="CJ755" s="18"/>
      <c r="CN755" s="18"/>
      <c r="CO755" s="19"/>
      <c r="CP755" s="19"/>
      <c r="CQ755" s="19"/>
      <c r="CR755" s="19"/>
      <c r="CS755" s="19"/>
      <c r="CT755" s="19"/>
      <c r="CU755" s="20"/>
      <c r="CV755" s="20"/>
      <c r="DA755" s="18">
        <f t="shared" si="121"/>
        <v>0</v>
      </c>
      <c r="DB755" s="19">
        <f t="shared" si="122"/>
        <v>0</v>
      </c>
      <c r="DC755" s="19">
        <f t="shared" si="123"/>
        <v>0</v>
      </c>
      <c r="DD755" s="19">
        <f t="shared" si="124"/>
        <v>0</v>
      </c>
      <c r="DE755" s="19">
        <f t="shared" si="125"/>
        <v>0</v>
      </c>
      <c r="DF755" s="19">
        <f t="shared" si="126"/>
        <v>0</v>
      </c>
      <c r="DG755" s="19">
        <f t="shared" si="127"/>
        <v>0</v>
      </c>
      <c r="DH755" s="20">
        <f t="shared" si="128"/>
        <v>0</v>
      </c>
      <c r="DI755" s="20">
        <f t="shared" si="129"/>
        <v>0</v>
      </c>
    </row>
    <row r="756" spans="80:113" x14ac:dyDescent="0.3">
      <c r="CB756" s="18"/>
      <c r="CC756" s="19"/>
      <c r="CD756" s="19"/>
      <c r="CE756" s="19"/>
      <c r="CF756" s="19"/>
      <c r="CG756" s="19"/>
      <c r="CH756" s="19"/>
      <c r="CI756" s="18"/>
      <c r="CJ756" s="18"/>
      <c r="CN756" s="18"/>
      <c r="CO756" s="19"/>
      <c r="CP756" s="19"/>
      <c r="CQ756" s="19"/>
      <c r="CR756" s="19"/>
      <c r="CS756" s="19"/>
      <c r="CT756" s="19"/>
      <c r="CU756" s="20"/>
      <c r="CV756" s="20"/>
      <c r="DA756" s="18">
        <f t="shared" si="121"/>
        <v>0</v>
      </c>
      <c r="DB756" s="19">
        <f t="shared" si="122"/>
        <v>0</v>
      </c>
      <c r="DC756" s="19">
        <f t="shared" si="123"/>
        <v>0</v>
      </c>
      <c r="DD756" s="19">
        <f t="shared" si="124"/>
        <v>0</v>
      </c>
      <c r="DE756" s="19">
        <f t="shared" si="125"/>
        <v>0</v>
      </c>
      <c r="DF756" s="19">
        <f t="shared" si="126"/>
        <v>0</v>
      </c>
      <c r="DG756" s="19">
        <f t="shared" si="127"/>
        <v>0</v>
      </c>
      <c r="DH756" s="20">
        <f t="shared" si="128"/>
        <v>0</v>
      </c>
      <c r="DI756" s="20">
        <f t="shared" si="129"/>
        <v>0</v>
      </c>
    </row>
    <row r="757" spans="80:113" x14ac:dyDescent="0.3">
      <c r="CB757" s="18"/>
      <c r="CC757" s="19"/>
      <c r="CD757" s="19"/>
      <c r="CE757" s="19"/>
      <c r="CF757" s="19"/>
      <c r="CG757" s="19"/>
      <c r="CH757" s="19"/>
      <c r="CI757" s="18"/>
      <c r="CJ757" s="18"/>
      <c r="CN757" s="18"/>
      <c r="CO757" s="19"/>
      <c r="CP757" s="19"/>
      <c r="CQ757" s="19"/>
      <c r="CR757" s="19"/>
      <c r="CS757" s="19"/>
      <c r="CT757" s="19"/>
      <c r="CU757" s="20"/>
      <c r="CV757" s="20"/>
      <c r="DA757" s="18">
        <f t="shared" si="121"/>
        <v>0</v>
      </c>
      <c r="DB757" s="19">
        <f t="shared" si="122"/>
        <v>0</v>
      </c>
      <c r="DC757" s="19">
        <f t="shared" si="123"/>
        <v>0</v>
      </c>
      <c r="DD757" s="19">
        <f t="shared" si="124"/>
        <v>0</v>
      </c>
      <c r="DE757" s="19">
        <f t="shared" si="125"/>
        <v>0</v>
      </c>
      <c r="DF757" s="19">
        <f t="shared" si="126"/>
        <v>0</v>
      </c>
      <c r="DG757" s="19">
        <f t="shared" si="127"/>
        <v>0</v>
      </c>
      <c r="DH757" s="20">
        <f t="shared" si="128"/>
        <v>0</v>
      </c>
      <c r="DI757" s="20">
        <f t="shared" si="129"/>
        <v>0</v>
      </c>
    </row>
    <row r="758" spans="80:113" x14ac:dyDescent="0.3">
      <c r="CB758" s="18"/>
      <c r="CC758" s="19"/>
      <c r="CD758" s="19"/>
      <c r="CE758" s="19"/>
      <c r="CF758" s="19"/>
      <c r="CG758" s="19"/>
      <c r="CH758" s="19"/>
      <c r="CI758" s="18"/>
      <c r="CJ758" s="18"/>
      <c r="CN758" s="18"/>
      <c r="CO758" s="19"/>
      <c r="CP758" s="19"/>
      <c r="CQ758" s="19"/>
      <c r="CR758" s="19"/>
      <c r="CS758" s="19"/>
      <c r="CT758" s="19"/>
      <c r="CU758" s="20"/>
      <c r="CV758" s="20"/>
      <c r="DA758" s="18">
        <f t="shared" si="121"/>
        <v>0</v>
      </c>
      <c r="DB758" s="19">
        <f t="shared" si="122"/>
        <v>0</v>
      </c>
      <c r="DC758" s="19">
        <f t="shared" si="123"/>
        <v>0</v>
      </c>
      <c r="DD758" s="19">
        <f t="shared" si="124"/>
        <v>0</v>
      </c>
      <c r="DE758" s="19">
        <f t="shared" si="125"/>
        <v>0</v>
      </c>
      <c r="DF758" s="19">
        <f t="shared" si="126"/>
        <v>0</v>
      </c>
      <c r="DG758" s="19">
        <f t="shared" si="127"/>
        <v>0</v>
      </c>
      <c r="DH758" s="20">
        <f t="shared" si="128"/>
        <v>0</v>
      </c>
      <c r="DI758" s="20">
        <f t="shared" si="129"/>
        <v>0</v>
      </c>
    </row>
    <row r="759" spans="80:113" x14ac:dyDescent="0.3">
      <c r="CB759" s="18"/>
      <c r="CC759" s="19"/>
      <c r="CD759" s="19"/>
      <c r="CE759" s="19"/>
      <c r="CF759" s="19"/>
      <c r="CG759" s="19"/>
      <c r="CH759" s="19"/>
      <c r="CI759" s="18"/>
      <c r="CJ759" s="18"/>
      <c r="CN759" s="18"/>
      <c r="CO759" s="19"/>
      <c r="CP759" s="19"/>
      <c r="CQ759" s="19"/>
      <c r="CR759" s="19"/>
      <c r="CS759" s="19"/>
      <c r="CT759" s="19"/>
      <c r="CU759" s="20"/>
      <c r="CV759" s="20"/>
      <c r="DA759" s="18">
        <f t="shared" si="121"/>
        <v>0</v>
      </c>
      <c r="DB759" s="19">
        <f t="shared" si="122"/>
        <v>0</v>
      </c>
      <c r="DC759" s="19">
        <f t="shared" si="123"/>
        <v>0</v>
      </c>
      <c r="DD759" s="19">
        <f t="shared" si="124"/>
        <v>0</v>
      </c>
      <c r="DE759" s="19">
        <f t="shared" si="125"/>
        <v>0</v>
      </c>
      <c r="DF759" s="19">
        <f t="shared" si="126"/>
        <v>0</v>
      </c>
      <c r="DG759" s="19">
        <f t="shared" si="127"/>
        <v>0</v>
      </c>
      <c r="DH759" s="20">
        <f t="shared" si="128"/>
        <v>0</v>
      </c>
      <c r="DI759" s="20">
        <f t="shared" si="129"/>
        <v>0</v>
      </c>
    </row>
    <row r="760" spans="80:113" x14ac:dyDescent="0.3">
      <c r="CB760" s="18"/>
      <c r="CC760" s="19"/>
      <c r="CD760" s="19"/>
      <c r="CE760" s="19"/>
      <c r="CF760" s="19"/>
      <c r="CG760" s="19"/>
      <c r="CH760" s="19"/>
      <c r="CI760" s="18"/>
      <c r="CJ760" s="18"/>
      <c r="CN760" s="18"/>
      <c r="CO760" s="19"/>
      <c r="CP760" s="19"/>
      <c r="CQ760" s="19"/>
      <c r="CR760" s="19"/>
      <c r="CS760" s="19"/>
      <c r="CT760" s="19"/>
      <c r="CU760" s="20"/>
      <c r="CV760" s="20"/>
      <c r="DA760" s="18">
        <f t="shared" si="121"/>
        <v>0</v>
      </c>
      <c r="DB760" s="19">
        <f t="shared" si="122"/>
        <v>0</v>
      </c>
      <c r="DC760" s="19">
        <f t="shared" si="123"/>
        <v>0</v>
      </c>
      <c r="DD760" s="19">
        <f t="shared" si="124"/>
        <v>0</v>
      </c>
      <c r="DE760" s="19">
        <f t="shared" si="125"/>
        <v>0</v>
      </c>
      <c r="DF760" s="19">
        <f t="shared" si="126"/>
        <v>0</v>
      </c>
      <c r="DG760" s="19">
        <f t="shared" si="127"/>
        <v>0</v>
      </c>
      <c r="DH760" s="20">
        <f t="shared" si="128"/>
        <v>0</v>
      </c>
      <c r="DI760" s="20">
        <f t="shared" si="129"/>
        <v>0</v>
      </c>
    </row>
    <row r="761" spans="80:113" x14ac:dyDescent="0.3">
      <c r="CB761" s="18"/>
      <c r="CC761" s="19"/>
      <c r="CD761" s="19"/>
      <c r="CE761" s="19"/>
      <c r="CF761" s="19"/>
      <c r="CG761" s="19"/>
      <c r="CH761" s="19"/>
      <c r="CI761" s="18"/>
      <c r="CJ761" s="18"/>
      <c r="CN761" s="18"/>
      <c r="CO761" s="19"/>
      <c r="CP761" s="19"/>
      <c r="CQ761" s="19"/>
      <c r="CR761" s="19"/>
      <c r="CS761" s="19"/>
      <c r="CT761" s="19"/>
      <c r="CU761" s="20"/>
      <c r="CV761" s="20"/>
      <c r="DA761" s="18">
        <f t="shared" si="121"/>
        <v>0</v>
      </c>
      <c r="DB761" s="19">
        <f t="shared" si="122"/>
        <v>0</v>
      </c>
      <c r="DC761" s="19">
        <f t="shared" si="123"/>
        <v>0</v>
      </c>
      <c r="DD761" s="19">
        <f t="shared" si="124"/>
        <v>0</v>
      </c>
      <c r="DE761" s="19">
        <f t="shared" si="125"/>
        <v>0</v>
      </c>
      <c r="DF761" s="19">
        <f t="shared" si="126"/>
        <v>0</v>
      </c>
      <c r="DG761" s="19">
        <f t="shared" si="127"/>
        <v>0</v>
      </c>
      <c r="DH761" s="20">
        <f t="shared" si="128"/>
        <v>0</v>
      </c>
      <c r="DI761" s="20">
        <f t="shared" si="129"/>
        <v>0</v>
      </c>
    </row>
    <row r="762" spans="80:113" x14ac:dyDescent="0.3">
      <c r="CB762" s="18"/>
      <c r="CC762" s="19"/>
      <c r="CD762" s="19"/>
      <c r="CE762" s="19"/>
      <c r="CF762" s="19"/>
      <c r="CG762" s="19"/>
      <c r="CH762" s="19"/>
      <c r="CI762" s="18"/>
      <c r="CJ762" s="18"/>
      <c r="CN762" s="18"/>
      <c r="CO762" s="19"/>
      <c r="CP762" s="19"/>
      <c r="CQ762" s="19"/>
      <c r="CR762" s="19"/>
      <c r="CS762" s="19"/>
      <c r="CT762" s="19"/>
      <c r="CU762" s="20"/>
      <c r="CV762" s="20"/>
      <c r="DA762" s="18">
        <f t="shared" si="121"/>
        <v>0</v>
      </c>
      <c r="DB762" s="19">
        <f t="shared" si="122"/>
        <v>0</v>
      </c>
      <c r="DC762" s="19">
        <f t="shared" si="123"/>
        <v>0</v>
      </c>
      <c r="DD762" s="19">
        <f t="shared" si="124"/>
        <v>0</v>
      </c>
      <c r="DE762" s="19">
        <f t="shared" si="125"/>
        <v>0</v>
      </c>
      <c r="DF762" s="19">
        <f t="shared" si="126"/>
        <v>0</v>
      </c>
      <c r="DG762" s="19">
        <f t="shared" si="127"/>
        <v>0</v>
      </c>
      <c r="DH762" s="20">
        <f t="shared" si="128"/>
        <v>0</v>
      </c>
      <c r="DI762" s="20">
        <f t="shared" si="129"/>
        <v>0</v>
      </c>
    </row>
    <row r="763" spans="80:113" x14ac:dyDescent="0.3">
      <c r="CB763" s="18"/>
      <c r="CC763" s="19"/>
      <c r="CD763" s="19"/>
      <c r="CE763" s="19"/>
      <c r="CF763" s="19"/>
      <c r="CG763" s="19"/>
      <c r="CH763" s="19"/>
      <c r="CI763" s="18"/>
      <c r="CJ763" s="18"/>
      <c r="CN763" s="18"/>
      <c r="CO763" s="19"/>
      <c r="CP763" s="19"/>
      <c r="CQ763" s="19"/>
      <c r="CR763" s="19"/>
      <c r="CS763" s="19"/>
      <c r="CT763" s="19"/>
      <c r="CU763" s="20"/>
      <c r="CV763" s="20"/>
      <c r="DA763" s="18">
        <f t="shared" si="121"/>
        <v>0</v>
      </c>
      <c r="DB763" s="19">
        <f t="shared" si="122"/>
        <v>0</v>
      </c>
      <c r="DC763" s="19">
        <f t="shared" si="123"/>
        <v>0</v>
      </c>
      <c r="DD763" s="19">
        <f t="shared" si="124"/>
        <v>0</v>
      </c>
      <c r="DE763" s="19">
        <f t="shared" si="125"/>
        <v>0</v>
      </c>
      <c r="DF763" s="19">
        <f t="shared" si="126"/>
        <v>0</v>
      </c>
      <c r="DG763" s="19">
        <f t="shared" si="127"/>
        <v>0</v>
      </c>
      <c r="DH763" s="20">
        <f t="shared" si="128"/>
        <v>0</v>
      </c>
      <c r="DI763" s="20">
        <f t="shared" si="129"/>
        <v>0</v>
      </c>
    </row>
    <row r="764" spans="80:113" x14ac:dyDescent="0.3">
      <c r="CB764" s="18"/>
      <c r="CC764" s="19"/>
      <c r="CD764" s="19"/>
      <c r="CE764" s="19"/>
      <c r="CF764" s="19"/>
      <c r="CG764" s="19"/>
      <c r="CH764" s="19"/>
      <c r="CI764" s="18"/>
      <c r="CJ764" s="18"/>
      <c r="CN764" s="18"/>
      <c r="CO764" s="19"/>
      <c r="CP764" s="19"/>
      <c r="CQ764" s="19"/>
      <c r="CR764" s="19"/>
      <c r="CS764" s="19"/>
      <c r="CT764" s="19"/>
      <c r="CU764" s="20"/>
      <c r="CV764" s="20"/>
      <c r="DA764" s="18">
        <f t="shared" si="121"/>
        <v>0</v>
      </c>
      <c r="DB764" s="19">
        <f t="shared" si="122"/>
        <v>0</v>
      </c>
      <c r="DC764" s="19">
        <f t="shared" si="123"/>
        <v>0</v>
      </c>
      <c r="DD764" s="19">
        <f t="shared" si="124"/>
        <v>0</v>
      </c>
      <c r="DE764" s="19">
        <f t="shared" si="125"/>
        <v>0</v>
      </c>
      <c r="DF764" s="19">
        <f t="shared" si="126"/>
        <v>0</v>
      </c>
      <c r="DG764" s="19">
        <f t="shared" si="127"/>
        <v>0</v>
      </c>
      <c r="DH764" s="20">
        <f t="shared" si="128"/>
        <v>0</v>
      </c>
      <c r="DI764" s="20">
        <f t="shared" si="129"/>
        <v>0</v>
      </c>
    </row>
    <row r="765" spans="80:113" x14ac:dyDescent="0.3">
      <c r="CB765" s="18"/>
      <c r="CC765" s="19"/>
      <c r="CD765" s="19"/>
      <c r="CE765" s="19"/>
      <c r="CF765" s="19"/>
      <c r="CG765" s="19"/>
      <c r="CH765" s="19"/>
      <c r="CI765" s="18"/>
      <c r="CJ765" s="18"/>
      <c r="CN765" s="18"/>
      <c r="CO765" s="19"/>
      <c r="CP765" s="19"/>
      <c r="CQ765" s="19"/>
      <c r="CR765" s="19"/>
      <c r="CS765" s="19"/>
      <c r="CT765" s="19"/>
      <c r="CU765" s="20"/>
      <c r="CV765" s="20"/>
      <c r="DA765" s="18">
        <f t="shared" si="121"/>
        <v>0</v>
      </c>
      <c r="DB765" s="19">
        <f t="shared" si="122"/>
        <v>0</v>
      </c>
      <c r="DC765" s="19">
        <f t="shared" si="123"/>
        <v>0</v>
      </c>
      <c r="DD765" s="19">
        <f t="shared" si="124"/>
        <v>0</v>
      </c>
      <c r="DE765" s="19">
        <f t="shared" si="125"/>
        <v>0</v>
      </c>
      <c r="DF765" s="19">
        <f t="shared" si="126"/>
        <v>0</v>
      </c>
      <c r="DG765" s="19">
        <f t="shared" si="127"/>
        <v>0</v>
      </c>
      <c r="DH765" s="20">
        <f t="shared" si="128"/>
        <v>0</v>
      </c>
      <c r="DI765" s="20">
        <f t="shared" si="129"/>
        <v>0</v>
      </c>
    </row>
    <row r="766" spans="80:113" x14ac:dyDescent="0.3">
      <c r="CB766" s="18"/>
      <c r="CC766" s="19"/>
      <c r="CD766" s="19"/>
      <c r="CE766" s="19"/>
      <c r="CF766" s="19"/>
      <c r="CG766" s="19"/>
      <c r="CH766" s="19"/>
      <c r="CI766" s="18"/>
      <c r="CJ766" s="18"/>
      <c r="CN766" s="18"/>
      <c r="CO766" s="19"/>
      <c r="CP766" s="19"/>
      <c r="CQ766" s="19"/>
      <c r="CR766" s="19"/>
      <c r="CS766" s="19"/>
      <c r="CT766" s="19"/>
      <c r="CU766" s="20"/>
      <c r="CV766" s="20"/>
      <c r="DA766" s="18">
        <f t="shared" si="121"/>
        <v>0</v>
      </c>
      <c r="DB766" s="19">
        <f t="shared" si="122"/>
        <v>0</v>
      </c>
      <c r="DC766" s="19">
        <f t="shared" si="123"/>
        <v>0</v>
      </c>
      <c r="DD766" s="19">
        <f t="shared" si="124"/>
        <v>0</v>
      </c>
      <c r="DE766" s="19">
        <f t="shared" si="125"/>
        <v>0</v>
      </c>
      <c r="DF766" s="19">
        <f t="shared" si="126"/>
        <v>0</v>
      </c>
      <c r="DG766" s="19">
        <f t="shared" si="127"/>
        <v>0</v>
      </c>
      <c r="DH766" s="20">
        <f t="shared" si="128"/>
        <v>0</v>
      </c>
      <c r="DI766" s="20">
        <f t="shared" si="129"/>
        <v>0</v>
      </c>
    </row>
    <row r="767" spans="80:113" x14ac:dyDescent="0.3">
      <c r="CB767" s="18"/>
      <c r="CC767" s="19"/>
      <c r="CD767" s="19"/>
      <c r="CE767" s="19"/>
      <c r="CF767" s="19"/>
      <c r="CG767" s="19"/>
      <c r="CH767" s="19"/>
      <c r="CI767" s="18"/>
      <c r="CJ767" s="18"/>
      <c r="CN767" s="18"/>
      <c r="CO767" s="19"/>
      <c r="CP767" s="19"/>
      <c r="CQ767" s="19"/>
      <c r="CR767" s="19"/>
      <c r="CS767" s="19"/>
      <c r="CT767" s="19"/>
      <c r="CU767" s="20"/>
      <c r="CV767" s="20"/>
      <c r="DA767" s="18">
        <f t="shared" si="121"/>
        <v>0</v>
      </c>
      <c r="DB767" s="19">
        <f t="shared" si="122"/>
        <v>0</v>
      </c>
      <c r="DC767" s="19">
        <f t="shared" si="123"/>
        <v>0</v>
      </c>
      <c r="DD767" s="19">
        <f t="shared" si="124"/>
        <v>0</v>
      </c>
      <c r="DE767" s="19">
        <f t="shared" si="125"/>
        <v>0</v>
      </c>
      <c r="DF767" s="19">
        <f t="shared" si="126"/>
        <v>0</v>
      </c>
      <c r="DG767" s="19">
        <f t="shared" si="127"/>
        <v>0</v>
      </c>
      <c r="DH767" s="20">
        <f t="shared" si="128"/>
        <v>0</v>
      </c>
      <c r="DI767" s="20">
        <f t="shared" si="129"/>
        <v>0</v>
      </c>
    </row>
    <row r="768" spans="80:113" x14ac:dyDescent="0.3">
      <c r="CB768" s="18"/>
      <c r="CC768" s="19"/>
      <c r="CD768" s="19"/>
      <c r="CE768" s="19"/>
      <c r="CF768" s="19"/>
      <c r="CG768" s="19"/>
      <c r="CH768" s="19"/>
      <c r="CI768" s="18"/>
      <c r="CJ768" s="18"/>
      <c r="CN768" s="18"/>
      <c r="CO768" s="19"/>
      <c r="CP768" s="19"/>
      <c r="CQ768" s="19"/>
      <c r="CR768" s="19"/>
      <c r="CS768" s="19"/>
      <c r="CT768" s="19"/>
      <c r="CU768" s="20"/>
      <c r="CV768" s="20"/>
      <c r="DA768" s="18">
        <f t="shared" si="121"/>
        <v>0</v>
      </c>
      <c r="DB768" s="19">
        <f t="shared" si="122"/>
        <v>0</v>
      </c>
      <c r="DC768" s="19">
        <f t="shared" si="123"/>
        <v>0</v>
      </c>
      <c r="DD768" s="19">
        <f t="shared" si="124"/>
        <v>0</v>
      </c>
      <c r="DE768" s="19">
        <f t="shared" si="125"/>
        <v>0</v>
      </c>
      <c r="DF768" s="19">
        <f t="shared" si="126"/>
        <v>0</v>
      </c>
      <c r="DG768" s="19">
        <f t="shared" si="127"/>
        <v>0</v>
      </c>
      <c r="DH768" s="20">
        <f t="shared" si="128"/>
        <v>0</v>
      </c>
      <c r="DI768" s="20">
        <f t="shared" si="129"/>
        <v>0</v>
      </c>
    </row>
    <row r="769" spans="80:113" x14ac:dyDescent="0.3">
      <c r="CB769" s="18"/>
      <c r="CC769" s="19"/>
      <c r="CD769" s="19"/>
      <c r="CE769" s="19"/>
      <c r="CF769" s="19"/>
      <c r="CG769" s="19"/>
      <c r="CH769" s="19"/>
      <c r="CI769" s="18"/>
      <c r="CJ769" s="18"/>
      <c r="CN769" s="18"/>
      <c r="CO769" s="19"/>
      <c r="CP769" s="19"/>
      <c r="CQ769" s="19"/>
      <c r="CR769" s="19"/>
      <c r="CS769" s="19"/>
      <c r="CT769" s="19"/>
      <c r="CU769" s="20"/>
      <c r="CV769" s="20"/>
      <c r="DA769" s="18">
        <f t="shared" si="121"/>
        <v>0</v>
      </c>
      <c r="DB769" s="19">
        <f t="shared" si="122"/>
        <v>0</v>
      </c>
      <c r="DC769" s="19">
        <f t="shared" si="123"/>
        <v>0</v>
      </c>
      <c r="DD769" s="19">
        <f t="shared" si="124"/>
        <v>0</v>
      </c>
      <c r="DE769" s="19">
        <f t="shared" si="125"/>
        <v>0</v>
      </c>
      <c r="DF769" s="19">
        <f t="shared" si="126"/>
        <v>0</v>
      </c>
      <c r="DG769" s="19">
        <f t="shared" si="127"/>
        <v>0</v>
      </c>
      <c r="DH769" s="20">
        <f t="shared" si="128"/>
        <v>0</v>
      </c>
      <c r="DI769" s="20">
        <f t="shared" si="129"/>
        <v>0</v>
      </c>
    </row>
    <row r="770" spans="80:113" x14ac:dyDescent="0.3">
      <c r="CB770" s="18"/>
      <c r="CC770" s="19"/>
      <c r="CD770" s="19"/>
      <c r="CE770" s="19"/>
      <c r="CF770" s="19"/>
      <c r="CG770" s="19"/>
      <c r="CH770" s="19"/>
      <c r="CI770" s="18"/>
      <c r="CJ770" s="18"/>
      <c r="CN770" s="18"/>
      <c r="CO770" s="19"/>
      <c r="CP770" s="19"/>
      <c r="CQ770" s="19"/>
      <c r="CR770" s="19"/>
      <c r="CS770" s="19"/>
      <c r="CT770" s="19"/>
      <c r="CU770" s="20"/>
      <c r="CV770" s="20"/>
      <c r="DA770" s="18">
        <f t="shared" si="121"/>
        <v>0</v>
      </c>
      <c r="DB770" s="19">
        <f t="shared" si="122"/>
        <v>0</v>
      </c>
      <c r="DC770" s="19">
        <f t="shared" si="123"/>
        <v>0</v>
      </c>
      <c r="DD770" s="19">
        <f t="shared" si="124"/>
        <v>0</v>
      </c>
      <c r="DE770" s="19">
        <f t="shared" si="125"/>
        <v>0</v>
      </c>
      <c r="DF770" s="19">
        <f t="shared" si="126"/>
        <v>0</v>
      </c>
      <c r="DG770" s="19">
        <f t="shared" si="127"/>
        <v>0</v>
      </c>
      <c r="DH770" s="20">
        <f t="shared" si="128"/>
        <v>0</v>
      </c>
      <c r="DI770" s="20">
        <f t="shared" si="129"/>
        <v>0</v>
      </c>
    </row>
    <row r="771" spans="80:113" x14ac:dyDescent="0.3">
      <c r="CB771" s="18"/>
      <c r="CC771" s="19"/>
      <c r="CD771" s="19"/>
      <c r="CE771" s="19"/>
      <c r="CF771" s="19"/>
      <c r="CG771" s="19"/>
      <c r="CH771" s="19"/>
      <c r="CI771" s="18"/>
      <c r="CJ771" s="18"/>
      <c r="CN771" s="18"/>
      <c r="CO771" s="19"/>
      <c r="CP771" s="19"/>
      <c r="CQ771" s="19"/>
      <c r="CR771" s="19"/>
      <c r="CS771" s="19"/>
      <c r="CT771" s="19"/>
      <c r="CU771" s="20"/>
      <c r="CV771" s="20"/>
      <c r="DA771" s="18">
        <f t="shared" ref="DA771:DA834" si="130">IF($BZ$2=1,CN771,CB771)</f>
        <v>0</v>
      </c>
      <c r="DB771" s="19">
        <f t="shared" ref="DB771:DB834" si="131">IF($BZ$2=1,CO771,CC771)</f>
        <v>0</v>
      </c>
      <c r="DC771" s="19">
        <f t="shared" ref="DC771:DC834" si="132">IF($BZ$2=1,CP771,CD771)</f>
        <v>0</v>
      </c>
      <c r="DD771" s="19">
        <f t="shared" ref="DD771:DD834" si="133">IF($BZ$2=1,CQ771,CE771)</f>
        <v>0</v>
      </c>
      <c r="DE771" s="19">
        <f t="shared" ref="DE771:DE834" si="134">IF($BZ$2=1,CR771,CF771)</f>
        <v>0</v>
      </c>
      <c r="DF771" s="19">
        <f t="shared" ref="DF771:DF834" si="135">IF($BZ$2=1,CS771,CG771)</f>
        <v>0</v>
      </c>
      <c r="DG771" s="19">
        <f t="shared" ref="DG771:DG834" si="136">IF($BZ$2=1,CT771,CH771)</f>
        <v>0</v>
      </c>
      <c r="DH771" s="20">
        <f t="shared" ref="DH771:DH834" si="137">IF($BZ$2=1,CU771,CI771)</f>
        <v>0</v>
      </c>
      <c r="DI771" s="20">
        <f t="shared" ref="DI771:DI834" si="138">IF($BZ$2=1,CV771,CJ771)</f>
        <v>0</v>
      </c>
    </row>
    <row r="772" spans="80:113" x14ac:dyDescent="0.3">
      <c r="CB772" s="18"/>
      <c r="CC772" s="19"/>
      <c r="CD772" s="19"/>
      <c r="CE772" s="19"/>
      <c r="CF772" s="19"/>
      <c r="CG772" s="19"/>
      <c r="CH772" s="19"/>
      <c r="CI772" s="18"/>
      <c r="CJ772" s="18"/>
      <c r="CN772" s="18"/>
      <c r="CO772" s="19"/>
      <c r="CP772" s="19"/>
      <c r="CQ772" s="19"/>
      <c r="CR772" s="19"/>
      <c r="CS772" s="19"/>
      <c r="CT772" s="19"/>
      <c r="CU772" s="20"/>
      <c r="CV772" s="20"/>
      <c r="DA772" s="18">
        <f t="shared" si="130"/>
        <v>0</v>
      </c>
      <c r="DB772" s="19">
        <f t="shared" si="131"/>
        <v>0</v>
      </c>
      <c r="DC772" s="19">
        <f t="shared" si="132"/>
        <v>0</v>
      </c>
      <c r="DD772" s="19">
        <f t="shared" si="133"/>
        <v>0</v>
      </c>
      <c r="DE772" s="19">
        <f t="shared" si="134"/>
        <v>0</v>
      </c>
      <c r="DF772" s="19">
        <f t="shared" si="135"/>
        <v>0</v>
      </c>
      <c r="DG772" s="19">
        <f t="shared" si="136"/>
        <v>0</v>
      </c>
      <c r="DH772" s="20">
        <f t="shared" si="137"/>
        <v>0</v>
      </c>
      <c r="DI772" s="20">
        <f t="shared" si="138"/>
        <v>0</v>
      </c>
    </row>
    <row r="773" spans="80:113" x14ac:dyDescent="0.3">
      <c r="CB773" s="18"/>
      <c r="CC773" s="19"/>
      <c r="CD773" s="19"/>
      <c r="CE773" s="19"/>
      <c r="CF773" s="19"/>
      <c r="CG773" s="19"/>
      <c r="CH773" s="19"/>
      <c r="CI773" s="18"/>
      <c r="CJ773" s="18"/>
      <c r="CN773" s="18"/>
      <c r="CO773" s="19"/>
      <c r="CP773" s="19"/>
      <c r="CQ773" s="19"/>
      <c r="CR773" s="19"/>
      <c r="CS773" s="19"/>
      <c r="CT773" s="19"/>
      <c r="CU773" s="20"/>
      <c r="CV773" s="20"/>
      <c r="DA773" s="18">
        <f t="shared" si="130"/>
        <v>0</v>
      </c>
      <c r="DB773" s="19">
        <f t="shared" si="131"/>
        <v>0</v>
      </c>
      <c r="DC773" s="19">
        <f t="shared" si="132"/>
        <v>0</v>
      </c>
      <c r="DD773" s="19">
        <f t="shared" si="133"/>
        <v>0</v>
      </c>
      <c r="DE773" s="19">
        <f t="shared" si="134"/>
        <v>0</v>
      </c>
      <c r="DF773" s="19">
        <f t="shared" si="135"/>
        <v>0</v>
      </c>
      <c r="DG773" s="19">
        <f t="shared" si="136"/>
        <v>0</v>
      </c>
      <c r="DH773" s="20">
        <f t="shared" si="137"/>
        <v>0</v>
      </c>
      <c r="DI773" s="20">
        <f t="shared" si="138"/>
        <v>0</v>
      </c>
    </row>
    <row r="774" spans="80:113" x14ac:dyDescent="0.3">
      <c r="CB774" s="18"/>
      <c r="CC774" s="19"/>
      <c r="CD774" s="19"/>
      <c r="CE774" s="19"/>
      <c r="CF774" s="19"/>
      <c r="CG774" s="19"/>
      <c r="CH774" s="19"/>
      <c r="CI774" s="18"/>
      <c r="CJ774" s="18"/>
      <c r="CN774" s="18"/>
      <c r="CO774" s="19"/>
      <c r="CP774" s="19"/>
      <c r="CQ774" s="19"/>
      <c r="CR774" s="19"/>
      <c r="CS774" s="19"/>
      <c r="CT774" s="19"/>
      <c r="CU774" s="20"/>
      <c r="CV774" s="20"/>
      <c r="DA774" s="18">
        <f t="shared" si="130"/>
        <v>0</v>
      </c>
      <c r="DB774" s="19">
        <f t="shared" si="131"/>
        <v>0</v>
      </c>
      <c r="DC774" s="19">
        <f t="shared" si="132"/>
        <v>0</v>
      </c>
      <c r="DD774" s="19">
        <f t="shared" si="133"/>
        <v>0</v>
      </c>
      <c r="DE774" s="19">
        <f t="shared" si="134"/>
        <v>0</v>
      </c>
      <c r="DF774" s="19">
        <f t="shared" si="135"/>
        <v>0</v>
      </c>
      <c r="DG774" s="19">
        <f t="shared" si="136"/>
        <v>0</v>
      </c>
      <c r="DH774" s="20">
        <f t="shared" si="137"/>
        <v>0</v>
      </c>
      <c r="DI774" s="20">
        <f t="shared" si="138"/>
        <v>0</v>
      </c>
    </row>
    <row r="775" spans="80:113" x14ac:dyDescent="0.3">
      <c r="CB775" s="18"/>
      <c r="CC775" s="19"/>
      <c r="CD775" s="19"/>
      <c r="CE775" s="19"/>
      <c r="CF775" s="19"/>
      <c r="CG775" s="19"/>
      <c r="CH775" s="19"/>
      <c r="CI775" s="18"/>
      <c r="CJ775" s="18"/>
      <c r="CN775" s="18"/>
      <c r="CO775" s="19"/>
      <c r="CP775" s="19"/>
      <c r="CQ775" s="19"/>
      <c r="CR775" s="19"/>
      <c r="CS775" s="19"/>
      <c r="CT775" s="19"/>
      <c r="CU775" s="20"/>
      <c r="CV775" s="20"/>
      <c r="DA775" s="18">
        <f t="shared" si="130"/>
        <v>0</v>
      </c>
      <c r="DB775" s="19">
        <f t="shared" si="131"/>
        <v>0</v>
      </c>
      <c r="DC775" s="19">
        <f t="shared" si="132"/>
        <v>0</v>
      </c>
      <c r="DD775" s="19">
        <f t="shared" si="133"/>
        <v>0</v>
      </c>
      <c r="DE775" s="19">
        <f t="shared" si="134"/>
        <v>0</v>
      </c>
      <c r="DF775" s="19">
        <f t="shared" si="135"/>
        <v>0</v>
      </c>
      <c r="DG775" s="19">
        <f t="shared" si="136"/>
        <v>0</v>
      </c>
      <c r="DH775" s="20">
        <f t="shared" si="137"/>
        <v>0</v>
      </c>
      <c r="DI775" s="20">
        <f t="shared" si="138"/>
        <v>0</v>
      </c>
    </row>
    <row r="776" spans="80:113" x14ac:dyDescent="0.3">
      <c r="CB776" s="18"/>
      <c r="CC776" s="19"/>
      <c r="CD776" s="19"/>
      <c r="CE776" s="19"/>
      <c r="CF776" s="19"/>
      <c r="CG776" s="19"/>
      <c r="CH776" s="19"/>
      <c r="CI776" s="18"/>
      <c r="CJ776" s="18"/>
      <c r="CN776" s="18"/>
      <c r="CO776" s="19"/>
      <c r="CP776" s="19"/>
      <c r="CQ776" s="19"/>
      <c r="CR776" s="19"/>
      <c r="CS776" s="19"/>
      <c r="CT776" s="19"/>
      <c r="CU776" s="20"/>
      <c r="CV776" s="20"/>
      <c r="DA776" s="18">
        <f t="shared" si="130"/>
        <v>0</v>
      </c>
      <c r="DB776" s="19">
        <f t="shared" si="131"/>
        <v>0</v>
      </c>
      <c r="DC776" s="19">
        <f t="shared" si="132"/>
        <v>0</v>
      </c>
      <c r="DD776" s="19">
        <f t="shared" si="133"/>
        <v>0</v>
      </c>
      <c r="DE776" s="19">
        <f t="shared" si="134"/>
        <v>0</v>
      </c>
      <c r="DF776" s="19">
        <f t="shared" si="135"/>
        <v>0</v>
      </c>
      <c r="DG776" s="19">
        <f t="shared" si="136"/>
        <v>0</v>
      </c>
      <c r="DH776" s="20">
        <f t="shared" si="137"/>
        <v>0</v>
      </c>
      <c r="DI776" s="20">
        <f t="shared" si="138"/>
        <v>0</v>
      </c>
    </row>
    <row r="777" spans="80:113" x14ac:dyDescent="0.3">
      <c r="CB777" s="18"/>
      <c r="CC777" s="19"/>
      <c r="CD777" s="19"/>
      <c r="CE777" s="19"/>
      <c r="CF777" s="19"/>
      <c r="CG777" s="19"/>
      <c r="CH777" s="19"/>
      <c r="CI777" s="18"/>
      <c r="CJ777" s="18"/>
      <c r="CN777" s="18"/>
      <c r="CO777" s="19"/>
      <c r="CP777" s="19"/>
      <c r="CQ777" s="19"/>
      <c r="CR777" s="19"/>
      <c r="CS777" s="19"/>
      <c r="CT777" s="19"/>
      <c r="CU777" s="20"/>
      <c r="CV777" s="20"/>
      <c r="DA777" s="18">
        <f t="shared" si="130"/>
        <v>0</v>
      </c>
      <c r="DB777" s="19">
        <f t="shared" si="131"/>
        <v>0</v>
      </c>
      <c r="DC777" s="19">
        <f t="shared" si="132"/>
        <v>0</v>
      </c>
      <c r="DD777" s="19">
        <f t="shared" si="133"/>
        <v>0</v>
      </c>
      <c r="DE777" s="19">
        <f t="shared" si="134"/>
        <v>0</v>
      </c>
      <c r="DF777" s="19">
        <f t="shared" si="135"/>
        <v>0</v>
      </c>
      <c r="DG777" s="19">
        <f t="shared" si="136"/>
        <v>0</v>
      </c>
      <c r="DH777" s="20">
        <f t="shared" si="137"/>
        <v>0</v>
      </c>
      <c r="DI777" s="20">
        <f t="shared" si="138"/>
        <v>0</v>
      </c>
    </row>
    <row r="778" spans="80:113" x14ac:dyDescent="0.3">
      <c r="CB778" s="18"/>
      <c r="CC778" s="19"/>
      <c r="CD778" s="19"/>
      <c r="CE778" s="19"/>
      <c r="CF778" s="19"/>
      <c r="CG778" s="19"/>
      <c r="CH778" s="19"/>
      <c r="CI778" s="18"/>
      <c r="CJ778" s="18"/>
      <c r="CN778" s="18"/>
      <c r="CO778" s="19"/>
      <c r="CP778" s="19"/>
      <c r="CQ778" s="19"/>
      <c r="CR778" s="19"/>
      <c r="CS778" s="19"/>
      <c r="CT778" s="19"/>
      <c r="CU778" s="20"/>
      <c r="CV778" s="20"/>
      <c r="DA778" s="18">
        <f t="shared" si="130"/>
        <v>0</v>
      </c>
      <c r="DB778" s="19">
        <f t="shared" si="131"/>
        <v>0</v>
      </c>
      <c r="DC778" s="19">
        <f t="shared" si="132"/>
        <v>0</v>
      </c>
      <c r="DD778" s="19">
        <f t="shared" si="133"/>
        <v>0</v>
      </c>
      <c r="DE778" s="19">
        <f t="shared" si="134"/>
        <v>0</v>
      </c>
      <c r="DF778" s="19">
        <f t="shared" si="135"/>
        <v>0</v>
      </c>
      <c r="DG778" s="19">
        <f t="shared" si="136"/>
        <v>0</v>
      </c>
      <c r="DH778" s="20">
        <f t="shared" si="137"/>
        <v>0</v>
      </c>
      <c r="DI778" s="20">
        <f t="shared" si="138"/>
        <v>0</v>
      </c>
    </row>
    <row r="779" spans="80:113" x14ac:dyDescent="0.3">
      <c r="CB779" s="18"/>
      <c r="CC779" s="19"/>
      <c r="CD779" s="19"/>
      <c r="CE779" s="19"/>
      <c r="CF779" s="19"/>
      <c r="CG779" s="19"/>
      <c r="CH779" s="19"/>
      <c r="CI779" s="18"/>
      <c r="CJ779" s="18"/>
      <c r="CN779" s="18"/>
      <c r="CO779" s="19"/>
      <c r="CP779" s="19"/>
      <c r="CQ779" s="19"/>
      <c r="CR779" s="19"/>
      <c r="CS779" s="19"/>
      <c r="CT779" s="19"/>
      <c r="CU779" s="20"/>
      <c r="CV779" s="20"/>
      <c r="DA779" s="18">
        <f t="shared" si="130"/>
        <v>0</v>
      </c>
      <c r="DB779" s="19">
        <f t="shared" si="131"/>
        <v>0</v>
      </c>
      <c r="DC779" s="19">
        <f t="shared" si="132"/>
        <v>0</v>
      </c>
      <c r="DD779" s="19">
        <f t="shared" si="133"/>
        <v>0</v>
      </c>
      <c r="DE779" s="19">
        <f t="shared" si="134"/>
        <v>0</v>
      </c>
      <c r="DF779" s="19">
        <f t="shared" si="135"/>
        <v>0</v>
      </c>
      <c r="DG779" s="19">
        <f t="shared" si="136"/>
        <v>0</v>
      </c>
      <c r="DH779" s="20">
        <f t="shared" si="137"/>
        <v>0</v>
      </c>
      <c r="DI779" s="20">
        <f t="shared" si="138"/>
        <v>0</v>
      </c>
    </row>
    <row r="780" spans="80:113" x14ac:dyDescent="0.3">
      <c r="CB780" s="18"/>
      <c r="CC780" s="19"/>
      <c r="CD780" s="19"/>
      <c r="CE780" s="19"/>
      <c r="CF780" s="19"/>
      <c r="CG780" s="19"/>
      <c r="CH780" s="19"/>
      <c r="CI780" s="18"/>
      <c r="CJ780" s="18"/>
      <c r="CN780" s="18"/>
      <c r="CO780" s="19"/>
      <c r="CP780" s="19"/>
      <c r="CQ780" s="19"/>
      <c r="CR780" s="19"/>
      <c r="CS780" s="19"/>
      <c r="CT780" s="19"/>
      <c r="CU780" s="20"/>
      <c r="CV780" s="20"/>
      <c r="DA780" s="18">
        <f t="shared" si="130"/>
        <v>0</v>
      </c>
      <c r="DB780" s="19">
        <f t="shared" si="131"/>
        <v>0</v>
      </c>
      <c r="DC780" s="19">
        <f t="shared" si="132"/>
        <v>0</v>
      </c>
      <c r="DD780" s="19">
        <f t="shared" si="133"/>
        <v>0</v>
      </c>
      <c r="DE780" s="19">
        <f t="shared" si="134"/>
        <v>0</v>
      </c>
      <c r="DF780" s="19">
        <f t="shared" si="135"/>
        <v>0</v>
      </c>
      <c r="DG780" s="19">
        <f t="shared" si="136"/>
        <v>0</v>
      </c>
      <c r="DH780" s="20">
        <f t="shared" si="137"/>
        <v>0</v>
      </c>
      <c r="DI780" s="20">
        <f t="shared" si="138"/>
        <v>0</v>
      </c>
    </row>
    <row r="781" spans="80:113" x14ac:dyDescent="0.3">
      <c r="CB781" s="18"/>
      <c r="CC781" s="19"/>
      <c r="CD781" s="19"/>
      <c r="CE781" s="19"/>
      <c r="CF781" s="19"/>
      <c r="CG781" s="19"/>
      <c r="CH781" s="19"/>
      <c r="CI781" s="18"/>
      <c r="CJ781" s="18"/>
      <c r="CN781" s="18"/>
      <c r="CO781" s="19"/>
      <c r="CP781" s="19"/>
      <c r="CQ781" s="19"/>
      <c r="CR781" s="19"/>
      <c r="CS781" s="19"/>
      <c r="CT781" s="19"/>
      <c r="CU781" s="20"/>
      <c r="CV781" s="20"/>
      <c r="DA781" s="18">
        <f t="shared" si="130"/>
        <v>0</v>
      </c>
      <c r="DB781" s="19">
        <f t="shared" si="131"/>
        <v>0</v>
      </c>
      <c r="DC781" s="19">
        <f t="shared" si="132"/>
        <v>0</v>
      </c>
      <c r="DD781" s="19">
        <f t="shared" si="133"/>
        <v>0</v>
      </c>
      <c r="DE781" s="19">
        <f t="shared" si="134"/>
        <v>0</v>
      </c>
      <c r="DF781" s="19">
        <f t="shared" si="135"/>
        <v>0</v>
      </c>
      <c r="DG781" s="19">
        <f t="shared" si="136"/>
        <v>0</v>
      </c>
      <c r="DH781" s="20">
        <f t="shared" si="137"/>
        <v>0</v>
      </c>
      <c r="DI781" s="20">
        <f t="shared" si="138"/>
        <v>0</v>
      </c>
    </row>
    <row r="782" spans="80:113" x14ac:dyDescent="0.3">
      <c r="CB782" s="18"/>
      <c r="CC782" s="19"/>
      <c r="CD782" s="19"/>
      <c r="CE782" s="19"/>
      <c r="CF782" s="19"/>
      <c r="CG782" s="19"/>
      <c r="CH782" s="19"/>
      <c r="CI782" s="18"/>
      <c r="CJ782" s="18"/>
      <c r="CN782" s="18"/>
      <c r="CO782" s="19"/>
      <c r="CP782" s="19"/>
      <c r="CQ782" s="19"/>
      <c r="CR782" s="19"/>
      <c r="CS782" s="19"/>
      <c r="CT782" s="19"/>
      <c r="CU782" s="20"/>
      <c r="CV782" s="20"/>
      <c r="DA782" s="18">
        <f t="shared" si="130"/>
        <v>0</v>
      </c>
      <c r="DB782" s="19">
        <f t="shared" si="131"/>
        <v>0</v>
      </c>
      <c r="DC782" s="19">
        <f t="shared" si="132"/>
        <v>0</v>
      </c>
      <c r="DD782" s="19">
        <f t="shared" si="133"/>
        <v>0</v>
      </c>
      <c r="DE782" s="19">
        <f t="shared" si="134"/>
        <v>0</v>
      </c>
      <c r="DF782" s="19">
        <f t="shared" si="135"/>
        <v>0</v>
      </c>
      <c r="DG782" s="19">
        <f t="shared" si="136"/>
        <v>0</v>
      </c>
      <c r="DH782" s="20">
        <f t="shared" si="137"/>
        <v>0</v>
      </c>
      <c r="DI782" s="20">
        <f t="shared" si="138"/>
        <v>0</v>
      </c>
    </row>
    <row r="783" spans="80:113" x14ac:dyDescent="0.3">
      <c r="CB783" s="18"/>
      <c r="CC783" s="19"/>
      <c r="CD783" s="19"/>
      <c r="CE783" s="19"/>
      <c r="CF783" s="19"/>
      <c r="CG783" s="19"/>
      <c r="CH783" s="19"/>
      <c r="CI783" s="18"/>
      <c r="CJ783" s="18"/>
      <c r="CN783" s="18"/>
      <c r="CO783" s="19"/>
      <c r="CP783" s="19"/>
      <c r="CQ783" s="19"/>
      <c r="CR783" s="19"/>
      <c r="CS783" s="19"/>
      <c r="CT783" s="19"/>
      <c r="CU783" s="20"/>
      <c r="CV783" s="20"/>
      <c r="DA783" s="18">
        <f t="shared" si="130"/>
        <v>0</v>
      </c>
      <c r="DB783" s="19">
        <f t="shared" si="131"/>
        <v>0</v>
      </c>
      <c r="DC783" s="19">
        <f t="shared" si="132"/>
        <v>0</v>
      </c>
      <c r="DD783" s="19">
        <f t="shared" si="133"/>
        <v>0</v>
      </c>
      <c r="DE783" s="19">
        <f t="shared" si="134"/>
        <v>0</v>
      </c>
      <c r="DF783" s="19">
        <f t="shared" si="135"/>
        <v>0</v>
      </c>
      <c r="DG783" s="19">
        <f t="shared" si="136"/>
        <v>0</v>
      </c>
      <c r="DH783" s="20">
        <f t="shared" si="137"/>
        <v>0</v>
      </c>
      <c r="DI783" s="20">
        <f t="shared" si="138"/>
        <v>0</v>
      </c>
    </row>
    <row r="784" spans="80:113" x14ac:dyDescent="0.3">
      <c r="CB784" s="18"/>
      <c r="CC784" s="19"/>
      <c r="CD784" s="19"/>
      <c r="CE784" s="19"/>
      <c r="CF784" s="19"/>
      <c r="CG784" s="19"/>
      <c r="CH784" s="19"/>
      <c r="CI784" s="18"/>
      <c r="CJ784" s="18"/>
      <c r="CN784" s="18"/>
      <c r="CO784" s="19"/>
      <c r="CP784" s="19"/>
      <c r="CQ784" s="19"/>
      <c r="CR784" s="19"/>
      <c r="CS784" s="19"/>
      <c r="CT784" s="19"/>
      <c r="CU784" s="20"/>
      <c r="CV784" s="20"/>
      <c r="DA784" s="18">
        <f t="shared" si="130"/>
        <v>0</v>
      </c>
      <c r="DB784" s="19">
        <f t="shared" si="131"/>
        <v>0</v>
      </c>
      <c r="DC784" s="19">
        <f t="shared" si="132"/>
        <v>0</v>
      </c>
      <c r="DD784" s="19">
        <f t="shared" si="133"/>
        <v>0</v>
      </c>
      <c r="DE784" s="19">
        <f t="shared" si="134"/>
        <v>0</v>
      </c>
      <c r="DF784" s="19">
        <f t="shared" si="135"/>
        <v>0</v>
      </c>
      <c r="DG784" s="19">
        <f t="shared" si="136"/>
        <v>0</v>
      </c>
      <c r="DH784" s="20">
        <f t="shared" si="137"/>
        <v>0</v>
      </c>
      <c r="DI784" s="20">
        <f t="shared" si="138"/>
        <v>0</v>
      </c>
    </row>
    <row r="785" spans="80:113" x14ac:dyDescent="0.3">
      <c r="CB785" s="18"/>
      <c r="CC785" s="19"/>
      <c r="CD785" s="19"/>
      <c r="CE785" s="19"/>
      <c r="CF785" s="19"/>
      <c r="CG785" s="19"/>
      <c r="CH785" s="19"/>
      <c r="CI785" s="18"/>
      <c r="CJ785" s="18"/>
      <c r="CN785" s="18"/>
      <c r="CO785" s="19"/>
      <c r="CP785" s="19"/>
      <c r="CQ785" s="19"/>
      <c r="CR785" s="19"/>
      <c r="CS785" s="19"/>
      <c r="CT785" s="19"/>
      <c r="CU785" s="20"/>
      <c r="CV785" s="20"/>
      <c r="DA785" s="18">
        <f t="shared" si="130"/>
        <v>0</v>
      </c>
      <c r="DB785" s="19">
        <f t="shared" si="131"/>
        <v>0</v>
      </c>
      <c r="DC785" s="19">
        <f t="shared" si="132"/>
        <v>0</v>
      </c>
      <c r="DD785" s="19">
        <f t="shared" si="133"/>
        <v>0</v>
      </c>
      <c r="DE785" s="19">
        <f t="shared" si="134"/>
        <v>0</v>
      </c>
      <c r="DF785" s="19">
        <f t="shared" si="135"/>
        <v>0</v>
      </c>
      <c r="DG785" s="19">
        <f t="shared" si="136"/>
        <v>0</v>
      </c>
      <c r="DH785" s="20">
        <f t="shared" si="137"/>
        <v>0</v>
      </c>
      <c r="DI785" s="20">
        <f t="shared" si="138"/>
        <v>0</v>
      </c>
    </row>
    <row r="786" spans="80:113" x14ac:dyDescent="0.3">
      <c r="CB786" s="18"/>
      <c r="CC786" s="19"/>
      <c r="CD786" s="19"/>
      <c r="CE786" s="19"/>
      <c r="CF786" s="19"/>
      <c r="CG786" s="19"/>
      <c r="CH786" s="19"/>
      <c r="CI786" s="18"/>
      <c r="CJ786" s="18"/>
      <c r="CN786" s="18"/>
      <c r="CO786" s="19"/>
      <c r="CP786" s="19"/>
      <c r="CQ786" s="19"/>
      <c r="CR786" s="19"/>
      <c r="CS786" s="19"/>
      <c r="CT786" s="19"/>
      <c r="CU786" s="20"/>
      <c r="CV786" s="20"/>
      <c r="DA786" s="18">
        <f t="shared" si="130"/>
        <v>0</v>
      </c>
      <c r="DB786" s="19">
        <f t="shared" si="131"/>
        <v>0</v>
      </c>
      <c r="DC786" s="19">
        <f t="shared" si="132"/>
        <v>0</v>
      </c>
      <c r="DD786" s="19">
        <f t="shared" si="133"/>
        <v>0</v>
      </c>
      <c r="DE786" s="19">
        <f t="shared" si="134"/>
        <v>0</v>
      </c>
      <c r="DF786" s="19">
        <f t="shared" si="135"/>
        <v>0</v>
      </c>
      <c r="DG786" s="19">
        <f t="shared" si="136"/>
        <v>0</v>
      </c>
      <c r="DH786" s="20">
        <f t="shared" si="137"/>
        <v>0</v>
      </c>
      <c r="DI786" s="20">
        <f t="shared" si="138"/>
        <v>0</v>
      </c>
    </row>
    <row r="787" spans="80:113" x14ac:dyDescent="0.3">
      <c r="CB787" s="18"/>
      <c r="CC787" s="19"/>
      <c r="CD787" s="19"/>
      <c r="CE787" s="19"/>
      <c r="CF787" s="19"/>
      <c r="CG787" s="19"/>
      <c r="CH787" s="19"/>
      <c r="CI787" s="18"/>
      <c r="CJ787" s="18"/>
      <c r="CN787" s="18"/>
      <c r="CO787" s="19"/>
      <c r="CP787" s="19"/>
      <c r="CQ787" s="19"/>
      <c r="CR787" s="19"/>
      <c r="CS787" s="19"/>
      <c r="CT787" s="19"/>
      <c r="CU787" s="20"/>
      <c r="CV787" s="20"/>
      <c r="DA787" s="18">
        <f t="shared" si="130"/>
        <v>0</v>
      </c>
      <c r="DB787" s="19">
        <f t="shared" si="131"/>
        <v>0</v>
      </c>
      <c r="DC787" s="19">
        <f t="shared" si="132"/>
        <v>0</v>
      </c>
      <c r="DD787" s="19">
        <f t="shared" si="133"/>
        <v>0</v>
      </c>
      <c r="DE787" s="19">
        <f t="shared" si="134"/>
        <v>0</v>
      </c>
      <c r="DF787" s="19">
        <f t="shared" si="135"/>
        <v>0</v>
      </c>
      <c r="DG787" s="19">
        <f t="shared" si="136"/>
        <v>0</v>
      </c>
      <c r="DH787" s="20">
        <f t="shared" si="137"/>
        <v>0</v>
      </c>
      <c r="DI787" s="20">
        <f t="shared" si="138"/>
        <v>0</v>
      </c>
    </row>
    <row r="788" spans="80:113" x14ac:dyDescent="0.3">
      <c r="CB788" s="18"/>
      <c r="CC788" s="19"/>
      <c r="CD788" s="19"/>
      <c r="CE788" s="19"/>
      <c r="CF788" s="19"/>
      <c r="CG788" s="19"/>
      <c r="CH788" s="19"/>
      <c r="CI788" s="18"/>
      <c r="CJ788" s="18"/>
      <c r="CN788" s="18"/>
      <c r="CO788" s="19"/>
      <c r="CP788" s="19"/>
      <c r="CQ788" s="19"/>
      <c r="CR788" s="19"/>
      <c r="CS788" s="19"/>
      <c r="CT788" s="19"/>
      <c r="CU788" s="20"/>
      <c r="CV788" s="20"/>
      <c r="DA788" s="18">
        <f t="shared" si="130"/>
        <v>0</v>
      </c>
      <c r="DB788" s="19">
        <f t="shared" si="131"/>
        <v>0</v>
      </c>
      <c r="DC788" s="19">
        <f t="shared" si="132"/>
        <v>0</v>
      </c>
      <c r="DD788" s="19">
        <f t="shared" si="133"/>
        <v>0</v>
      </c>
      <c r="DE788" s="19">
        <f t="shared" si="134"/>
        <v>0</v>
      </c>
      <c r="DF788" s="19">
        <f t="shared" si="135"/>
        <v>0</v>
      </c>
      <c r="DG788" s="19">
        <f t="shared" si="136"/>
        <v>0</v>
      </c>
      <c r="DH788" s="20">
        <f t="shared" si="137"/>
        <v>0</v>
      </c>
      <c r="DI788" s="20">
        <f t="shared" si="138"/>
        <v>0</v>
      </c>
    </row>
    <row r="789" spans="80:113" x14ac:dyDescent="0.3">
      <c r="CB789" s="18"/>
      <c r="CC789" s="19"/>
      <c r="CD789" s="19"/>
      <c r="CE789" s="19"/>
      <c r="CF789" s="19"/>
      <c r="CG789" s="19"/>
      <c r="CH789" s="19"/>
      <c r="CI789" s="18"/>
      <c r="CJ789" s="18"/>
      <c r="CN789" s="18"/>
      <c r="CO789" s="19"/>
      <c r="CP789" s="19"/>
      <c r="CQ789" s="19"/>
      <c r="CR789" s="19"/>
      <c r="CS789" s="19"/>
      <c r="CT789" s="19"/>
      <c r="CU789" s="20"/>
      <c r="CV789" s="20"/>
      <c r="DA789" s="18">
        <f t="shared" si="130"/>
        <v>0</v>
      </c>
      <c r="DB789" s="19">
        <f t="shared" si="131"/>
        <v>0</v>
      </c>
      <c r="DC789" s="19">
        <f t="shared" si="132"/>
        <v>0</v>
      </c>
      <c r="DD789" s="19">
        <f t="shared" si="133"/>
        <v>0</v>
      </c>
      <c r="DE789" s="19">
        <f t="shared" si="134"/>
        <v>0</v>
      </c>
      <c r="DF789" s="19">
        <f t="shared" si="135"/>
        <v>0</v>
      </c>
      <c r="DG789" s="19">
        <f t="shared" si="136"/>
        <v>0</v>
      </c>
      <c r="DH789" s="20">
        <f t="shared" si="137"/>
        <v>0</v>
      </c>
      <c r="DI789" s="20">
        <f t="shared" si="138"/>
        <v>0</v>
      </c>
    </row>
    <row r="790" spans="80:113" x14ac:dyDescent="0.3">
      <c r="CB790" s="18"/>
      <c r="CC790" s="19"/>
      <c r="CD790" s="19"/>
      <c r="CE790" s="19"/>
      <c r="CF790" s="19"/>
      <c r="CG790" s="19"/>
      <c r="CH790" s="19"/>
      <c r="CI790" s="18"/>
      <c r="CJ790" s="18"/>
      <c r="CN790" s="18"/>
      <c r="CO790" s="19"/>
      <c r="CP790" s="19"/>
      <c r="CQ790" s="19"/>
      <c r="CR790" s="19"/>
      <c r="CS790" s="19"/>
      <c r="CT790" s="19"/>
      <c r="CU790" s="20"/>
      <c r="CV790" s="20"/>
      <c r="DA790" s="18">
        <f t="shared" si="130"/>
        <v>0</v>
      </c>
      <c r="DB790" s="19">
        <f t="shared" si="131"/>
        <v>0</v>
      </c>
      <c r="DC790" s="19">
        <f t="shared" si="132"/>
        <v>0</v>
      </c>
      <c r="DD790" s="19">
        <f t="shared" si="133"/>
        <v>0</v>
      </c>
      <c r="DE790" s="19">
        <f t="shared" si="134"/>
        <v>0</v>
      </c>
      <c r="DF790" s="19">
        <f t="shared" si="135"/>
        <v>0</v>
      </c>
      <c r="DG790" s="19">
        <f t="shared" si="136"/>
        <v>0</v>
      </c>
      <c r="DH790" s="20">
        <f t="shared" si="137"/>
        <v>0</v>
      </c>
      <c r="DI790" s="20">
        <f t="shared" si="138"/>
        <v>0</v>
      </c>
    </row>
    <row r="791" spans="80:113" x14ac:dyDescent="0.3">
      <c r="CB791" s="18"/>
      <c r="CC791" s="19"/>
      <c r="CD791" s="19"/>
      <c r="CE791" s="19"/>
      <c r="CF791" s="19"/>
      <c r="CG791" s="19"/>
      <c r="CH791" s="19"/>
      <c r="CI791" s="18"/>
      <c r="CJ791" s="18"/>
      <c r="CN791" s="18"/>
      <c r="CO791" s="19"/>
      <c r="CP791" s="19"/>
      <c r="CQ791" s="19"/>
      <c r="CR791" s="19"/>
      <c r="CS791" s="19"/>
      <c r="CT791" s="19"/>
      <c r="CU791" s="20"/>
      <c r="CV791" s="20"/>
      <c r="DA791" s="18">
        <f t="shared" si="130"/>
        <v>0</v>
      </c>
      <c r="DB791" s="19">
        <f t="shared" si="131"/>
        <v>0</v>
      </c>
      <c r="DC791" s="19">
        <f t="shared" si="132"/>
        <v>0</v>
      </c>
      <c r="DD791" s="19">
        <f t="shared" si="133"/>
        <v>0</v>
      </c>
      <c r="DE791" s="19">
        <f t="shared" si="134"/>
        <v>0</v>
      </c>
      <c r="DF791" s="19">
        <f t="shared" si="135"/>
        <v>0</v>
      </c>
      <c r="DG791" s="19">
        <f t="shared" si="136"/>
        <v>0</v>
      </c>
      <c r="DH791" s="20">
        <f t="shared" si="137"/>
        <v>0</v>
      </c>
      <c r="DI791" s="20">
        <f t="shared" si="138"/>
        <v>0</v>
      </c>
    </row>
    <row r="792" spans="80:113" x14ac:dyDescent="0.3">
      <c r="CB792" s="18"/>
      <c r="CC792" s="19"/>
      <c r="CD792" s="19"/>
      <c r="CE792" s="19"/>
      <c r="CF792" s="19"/>
      <c r="CG792" s="19"/>
      <c r="CH792" s="19"/>
      <c r="CI792" s="18"/>
      <c r="CJ792" s="18"/>
      <c r="CN792" s="18"/>
      <c r="CO792" s="19"/>
      <c r="CP792" s="19"/>
      <c r="CQ792" s="19"/>
      <c r="CR792" s="19"/>
      <c r="CS792" s="19"/>
      <c r="CT792" s="19"/>
      <c r="CU792" s="20"/>
      <c r="CV792" s="20"/>
      <c r="DA792" s="18">
        <f t="shared" si="130"/>
        <v>0</v>
      </c>
      <c r="DB792" s="19">
        <f t="shared" si="131"/>
        <v>0</v>
      </c>
      <c r="DC792" s="19">
        <f t="shared" si="132"/>
        <v>0</v>
      </c>
      <c r="DD792" s="19">
        <f t="shared" si="133"/>
        <v>0</v>
      </c>
      <c r="DE792" s="19">
        <f t="shared" si="134"/>
        <v>0</v>
      </c>
      <c r="DF792" s="19">
        <f t="shared" si="135"/>
        <v>0</v>
      </c>
      <c r="DG792" s="19">
        <f t="shared" si="136"/>
        <v>0</v>
      </c>
      <c r="DH792" s="20">
        <f t="shared" si="137"/>
        <v>0</v>
      </c>
      <c r="DI792" s="20">
        <f t="shared" si="138"/>
        <v>0</v>
      </c>
    </row>
    <row r="793" spans="80:113" x14ac:dyDescent="0.3">
      <c r="CB793" s="18"/>
      <c r="CC793" s="19"/>
      <c r="CD793" s="19"/>
      <c r="CE793" s="19"/>
      <c r="CF793" s="19"/>
      <c r="CG793" s="19"/>
      <c r="CH793" s="19"/>
      <c r="CI793" s="18"/>
      <c r="CJ793" s="18"/>
      <c r="CN793" s="18"/>
      <c r="CO793" s="19"/>
      <c r="CP793" s="19"/>
      <c r="CQ793" s="19"/>
      <c r="CR793" s="19"/>
      <c r="CS793" s="19"/>
      <c r="CT793" s="19"/>
      <c r="CU793" s="20"/>
      <c r="CV793" s="20"/>
      <c r="DA793" s="18">
        <f t="shared" si="130"/>
        <v>0</v>
      </c>
      <c r="DB793" s="19">
        <f t="shared" si="131"/>
        <v>0</v>
      </c>
      <c r="DC793" s="19">
        <f t="shared" si="132"/>
        <v>0</v>
      </c>
      <c r="DD793" s="19">
        <f t="shared" si="133"/>
        <v>0</v>
      </c>
      <c r="DE793" s="19">
        <f t="shared" si="134"/>
        <v>0</v>
      </c>
      <c r="DF793" s="19">
        <f t="shared" si="135"/>
        <v>0</v>
      </c>
      <c r="DG793" s="19">
        <f t="shared" si="136"/>
        <v>0</v>
      </c>
      <c r="DH793" s="20">
        <f t="shared" si="137"/>
        <v>0</v>
      </c>
      <c r="DI793" s="20">
        <f t="shared" si="138"/>
        <v>0</v>
      </c>
    </row>
    <row r="794" spans="80:113" x14ac:dyDescent="0.3">
      <c r="CB794" s="18"/>
      <c r="CC794" s="19"/>
      <c r="CD794" s="19"/>
      <c r="CE794" s="19"/>
      <c r="CF794" s="19"/>
      <c r="CG794" s="19"/>
      <c r="CH794" s="19"/>
      <c r="CI794" s="18"/>
      <c r="CJ794" s="18"/>
      <c r="CN794" s="18"/>
      <c r="CO794" s="19"/>
      <c r="CP794" s="19"/>
      <c r="CQ794" s="19"/>
      <c r="CR794" s="19"/>
      <c r="CS794" s="19"/>
      <c r="CT794" s="19"/>
      <c r="CU794" s="20"/>
      <c r="CV794" s="20"/>
      <c r="DA794" s="18">
        <f t="shared" si="130"/>
        <v>0</v>
      </c>
      <c r="DB794" s="19">
        <f t="shared" si="131"/>
        <v>0</v>
      </c>
      <c r="DC794" s="19">
        <f t="shared" si="132"/>
        <v>0</v>
      </c>
      <c r="DD794" s="19">
        <f t="shared" si="133"/>
        <v>0</v>
      </c>
      <c r="DE794" s="19">
        <f t="shared" si="134"/>
        <v>0</v>
      </c>
      <c r="DF794" s="19">
        <f t="shared" si="135"/>
        <v>0</v>
      </c>
      <c r="DG794" s="19">
        <f t="shared" si="136"/>
        <v>0</v>
      </c>
      <c r="DH794" s="20">
        <f t="shared" si="137"/>
        <v>0</v>
      </c>
      <c r="DI794" s="20">
        <f t="shared" si="138"/>
        <v>0</v>
      </c>
    </row>
    <row r="795" spans="80:113" x14ac:dyDescent="0.3">
      <c r="CB795" s="18"/>
      <c r="CC795" s="19"/>
      <c r="CD795" s="19"/>
      <c r="CE795" s="19"/>
      <c r="CF795" s="19"/>
      <c r="CG795" s="19"/>
      <c r="CH795" s="19"/>
      <c r="CI795" s="18"/>
      <c r="CJ795" s="18"/>
      <c r="CN795" s="18"/>
      <c r="CO795" s="19"/>
      <c r="CP795" s="19"/>
      <c r="CQ795" s="19"/>
      <c r="CR795" s="19"/>
      <c r="CS795" s="19"/>
      <c r="CT795" s="19"/>
      <c r="CU795" s="20"/>
      <c r="CV795" s="20"/>
      <c r="DA795" s="18">
        <f t="shared" si="130"/>
        <v>0</v>
      </c>
      <c r="DB795" s="19">
        <f t="shared" si="131"/>
        <v>0</v>
      </c>
      <c r="DC795" s="19">
        <f t="shared" si="132"/>
        <v>0</v>
      </c>
      <c r="DD795" s="19">
        <f t="shared" si="133"/>
        <v>0</v>
      </c>
      <c r="DE795" s="19">
        <f t="shared" si="134"/>
        <v>0</v>
      </c>
      <c r="DF795" s="19">
        <f t="shared" si="135"/>
        <v>0</v>
      </c>
      <c r="DG795" s="19">
        <f t="shared" si="136"/>
        <v>0</v>
      </c>
      <c r="DH795" s="20">
        <f t="shared" si="137"/>
        <v>0</v>
      </c>
      <c r="DI795" s="20">
        <f t="shared" si="138"/>
        <v>0</v>
      </c>
    </row>
    <row r="796" spans="80:113" x14ac:dyDescent="0.3">
      <c r="CB796" s="18"/>
      <c r="CC796" s="19"/>
      <c r="CD796" s="19"/>
      <c r="CE796" s="19"/>
      <c r="CF796" s="19"/>
      <c r="CG796" s="19"/>
      <c r="CH796" s="19"/>
      <c r="CI796" s="18"/>
      <c r="CJ796" s="18"/>
      <c r="CN796" s="18"/>
      <c r="CO796" s="19"/>
      <c r="CP796" s="19"/>
      <c r="CQ796" s="19"/>
      <c r="CR796" s="19"/>
      <c r="CS796" s="19"/>
      <c r="CT796" s="19"/>
      <c r="CU796" s="20"/>
      <c r="CV796" s="20"/>
      <c r="DA796" s="18">
        <f t="shared" si="130"/>
        <v>0</v>
      </c>
      <c r="DB796" s="19">
        <f t="shared" si="131"/>
        <v>0</v>
      </c>
      <c r="DC796" s="19">
        <f t="shared" si="132"/>
        <v>0</v>
      </c>
      <c r="DD796" s="19">
        <f t="shared" si="133"/>
        <v>0</v>
      </c>
      <c r="DE796" s="19">
        <f t="shared" si="134"/>
        <v>0</v>
      </c>
      <c r="DF796" s="19">
        <f t="shared" si="135"/>
        <v>0</v>
      </c>
      <c r="DG796" s="19">
        <f t="shared" si="136"/>
        <v>0</v>
      </c>
      <c r="DH796" s="20">
        <f t="shared" si="137"/>
        <v>0</v>
      </c>
      <c r="DI796" s="20">
        <f t="shared" si="138"/>
        <v>0</v>
      </c>
    </row>
    <row r="797" spans="80:113" x14ac:dyDescent="0.3">
      <c r="CB797" s="18"/>
      <c r="CC797" s="19"/>
      <c r="CD797" s="19"/>
      <c r="CE797" s="19"/>
      <c r="CF797" s="19"/>
      <c r="CG797" s="19"/>
      <c r="CH797" s="19"/>
      <c r="CI797" s="18"/>
      <c r="CJ797" s="18"/>
      <c r="CN797" s="18"/>
      <c r="CO797" s="19"/>
      <c r="CP797" s="19"/>
      <c r="CQ797" s="19"/>
      <c r="CR797" s="19"/>
      <c r="CS797" s="19"/>
      <c r="CT797" s="19"/>
      <c r="CU797" s="20"/>
      <c r="CV797" s="20"/>
      <c r="DA797" s="18">
        <f t="shared" si="130"/>
        <v>0</v>
      </c>
      <c r="DB797" s="19">
        <f t="shared" si="131"/>
        <v>0</v>
      </c>
      <c r="DC797" s="19">
        <f t="shared" si="132"/>
        <v>0</v>
      </c>
      <c r="DD797" s="19">
        <f t="shared" si="133"/>
        <v>0</v>
      </c>
      <c r="DE797" s="19">
        <f t="shared" si="134"/>
        <v>0</v>
      </c>
      <c r="DF797" s="19">
        <f t="shared" si="135"/>
        <v>0</v>
      </c>
      <c r="DG797" s="19">
        <f t="shared" si="136"/>
        <v>0</v>
      </c>
      <c r="DH797" s="20">
        <f t="shared" si="137"/>
        <v>0</v>
      </c>
      <c r="DI797" s="20">
        <f t="shared" si="138"/>
        <v>0</v>
      </c>
    </row>
    <row r="798" spans="80:113" x14ac:dyDescent="0.3">
      <c r="CB798" s="18"/>
      <c r="CC798" s="19"/>
      <c r="CD798" s="19"/>
      <c r="CE798" s="19"/>
      <c r="CF798" s="19"/>
      <c r="CG798" s="19"/>
      <c r="CH798" s="19"/>
      <c r="CI798" s="18"/>
      <c r="CJ798" s="18"/>
      <c r="CN798" s="18"/>
      <c r="CO798" s="19"/>
      <c r="CP798" s="19"/>
      <c r="CQ798" s="19"/>
      <c r="CR798" s="19"/>
      <c r="CS798" s="19"/>
      <c r="CT798" s="19"/>
      <c r="CU798" s="20"/>
      <c r="CV798" s="20"/>
      <c r="DA798" s="18">
        <f t="shared" si="130"/>
        <v>0</v>
      </c>
      <c r="DB798" s="19">
        <f t="shared" si="131"/>
        <v>0</v>
      </c>
      <c r="DC798" s="19">
        <f t="shared" si="132"/>
        <v>0</v>
      </c>
      <c r="DD798" s="19">
        <f t="shared" si="133"/>
        <v>0</v>
      </c>
      <c r="DE798" s="19">
        <f t="shared" si="134"/>
        <v>0</v>
      </c>
      <c r="DF798" s="19">
        <f t="shared" si="135"/>
        <v>0</v>
      </c>
      <c r="DG798" s="19">
        <f t="shared" si="136"/>
        <v>0</v>
      </c>
      <c r="DH798" s="20">
        <f t="shared" si="137"/>
        <v>0</v>
      </c>
      <c r="DI798" s="20">
        <f t="shared" si="138"/>
        <v>0</v>
      </c>
    </row>
    <row r="799" spans="80:113" x14ac:dyDescent="0.3">
      <c r="CB799" s="18"/>
      <c r="CC799" s="19"/>
      <c r="CD799" s="19"/>
      <c r="CE799" s="19"/>
      <c r="CF799" s="19"/>
      <c r="CG799" s="19"/>
      <c r="CH799" s="19"/>
      <c r="CI799" s="18"/>
      <c r="CJ799" s="18"/>
      <c r="CN799" s="18"/>
      <c r="CO799" s="19"/>
      <c r="CP799" s="19"/>
      <c r="CQ799" s="19"/>
      <c r="CR799" s="19"/>
      <c r="CS799" s="19"/>
      <c r="CT799" s="19"/>
      <c r="CU799" s="20"/>
      <c r="CV799" s="20"/>
      <c r="DA799" s="18">
        <f t="shared" si="130"/>
        <v>0</v>
      </c>
      <c r="DB799" s="19">
        <f t="shared" si="131"/>
        <v>0</v>
      </c>
      <c r="DC799" s="19">
        <f t="shared" si="132"/>
        <v>0</v>
      </c>
      <c r="DD799" s="19">
        <f t="shared" si="133"/>
        <v>0</v>
      </c>
      <c r="DE799" s="19">
        <f t="shared" si="134"/>
        <v>0</v>
      </c>
      <c r="DF799" s="19">
        <f t="shared" si="135"/>
        <v>0</v>
      </c>
      <c r="DG799" s="19">
        <f t="shared" si="136"/>
        <v>0</v>
      </c>
      <c r="DH799" s="20">
        <f t="shared" si="137"/>
        <v>0</v>
      </c>
      <c r="DI799" s="20">
        <f t="shared" si="138"/>
        <v>0</v>
      </c>
    </row>
    <row r="800" spans="80:113" x14ac:dyDescent="0.3">
      <c r="CB800" s="18"/>
      <c r="CC800" s="19"/>
      <c r="CD800" s="19"/>
      <c r="CE800" s="19"/>
      <c r="CF800" s="19"/>
      <c r="CG800" s="19"/>
      <c r="CH800" s="19"/>
      <c r="CI800" s="18"/>
      <c r="CJ800" s="18"/>
      <c r="CN800" s="18"/>
      <c r="CO800" s="19"/>
      <c r="CP800" s="19"/>
      <c r="CQ800" s="19"/>
      <c r="CR800" s="19"/>
      <c r="CS800" s="19"/>
      <c r="CT800" s="19"/>
      <c r="CU800" s="20"/>
      <c r="CV800" s="20"/>
      <c r="DA800" s="18">
        <f t="shared" si="130"/>
        <v>0</v>
      </c>
      <c r="DB800" s="19">
        <f t="shared" si="131"/>
        <v>0</v>
      </c>
      <c r="DC800" s="19">
        <f t="shared" si="132"/>
        <v>0</v>
      </c>
      <c r="DD800" s="19">
        <f t="shared" si="133"/>
        <v>0</v>
      </c>
      <c r="DE800" s="19">
        <f t="shared" si="134"/>
        <v>0</v>
      </c>
      <c r="DF800" s="19">
        <f t="shared" si="135"/>
        <v>0</v>
      </c>
      <c r="DG800" s="19">
        <f t="shared" si="136"/>
        <v>0</v>
      </c>
      <c r="DH800" s="20">
        <f t="shared" si="137"/>
        <v>0</v>
      </c>
      <c r="DI800" s="20">
        <f t="shared" si="138"/>
        <v>0</v>
      </c>
    </row>
    <row r="801" spans="80:113" x14ac:dyDescent="0.3">
      <c r="CB801" s="18"/>
      <c r="CC801" s="19"/>
      <c r="CD801" s="19"/>
      <c r="CE801" s="19"/>
      <c r="CF801" s="19"/>
      <c r="CG801" s="19"/>
      <c r="CH801" s="19"/>
      <c r="CI801" s="18"/>
      <c r="CJ801" s="18"/>
      <c r="CN801" s="18"/>
      <c r="CO801" s="19"/>
      <c r="CP801" s="19"/>
      <c r="CQ801" s="19"/>
      <c r="CR801" s="19"/>
      <c r="CS801" s="19"/>
      <c r="CT801" s="19"/>
      <c r="CU801" s="20"/>
      <c r="CV801" s="20"/>
      <c r="DA801" s="18">
        <f t="shared" si="130"/>
        <v>0</v>
      </c>
      <c r="DB801" s="19">
        <f t="shared" si="131"/>
        <v>0</v>
      </c>
      <c r="DC801" s="19">
        <f t="shared" si="132"/>
        <v>0</v>
      </c>
      <c r="DD801" s="19">
        <f t="shared" si="133"/>
        <v>0</v>
      </c>
      <c r="DE801" s="19">
        <f t="shared" si="134"/>
        <v>0</v>
      </c>
      <c r="DF801" s="19">
        <f t="shared" si="135"/>
        <v>0</v>
      </c>
      <c r="DG801" s="19">
        <f t="shared" si="136"/>
        <v>0</v>
      </c>
      <c r="DH801" s="20">
        <f t="shared" si="137"/>
        <v>0</v>
      </c>
      <c r="DI801" s="20">
        <f t="shared" si="138"/>
        <v>0</v>
      </c>
    </row>
    <row r="802" spans="80:113" x14ac:dyDescent="0.3">
      <c r="CB802" s="18"/>
      <c r="CC802" s="19"/>
      <c r="CD802" s="19"/>
      <c r="CE802" s="19"/>
      <c r="CF802" s="19"/>
      <c r="CG802" s="19"/>
      <c r="CH802" s="19"/>
      <c r="CI802" s="18"/>
      <c r="CJ802" s="18"/>
      <c r="CN802" s="18"/>
      <c r="CO802" s="19"/>
      <c r="CP802" s="19"/>
      <c r="CQ802" s="19"/>
      <c r="CR802" s="19"/>
      <c r="CS802" s="19"/>
      <c r="CT802" s="19"/>
      <c r="CU802" s="20"/>
      <c r="CV802" s="20"/>
      <c r="DA802" s="18">
        <f t="shared" si="130"/>
        <v>0</v>
      </c>
      <c r="DB802" s="19">
        <f t="shared" si="131"/>
        <v>0</v>
      </c>
      <c r="DC802" s="19">
        <f t="shared" si="132"/>
        <v>0</v>
      </c>
      <c r="DD802" s="19">
        <f t="shared" si="133"/>
        <v>0</v>
      </c>
      <c r="DE802" s="19">
        <f t="shared" si="134"/>
        <v>0</v>
      </c>
      <c r="DF802" s="19">
        <f t="shared" si="135"/>
        <v>0</v>
      </c>
      <c r="DG802" s="19">
        <f t="shared" si="136"/>
        <v>0</v>
      </c>
      <c r="DH802" s="20">
        <f t="shared" si="137"/>
        <v>0</v>
      </c>
      <c r="DI802" s="20">
        <f t="shared" si="138"/>
        <v>0</v>
      </c>
    </row>
    <row r="803" spans="80:113" x14ac:dyDescent="0.3">
      <c r="CB803" s="18"/>
      <c r="CC803" s="19"/>
      <c r="CD803" s="19"/>
      <c r="CE803" s="19"/>
      <c r="CF803" s="19"/>
      <c r="CG803" s="19"/>
      <c r="CH803" s="19"/>
      <c r="CI803" s="18"/>
      <c r="CJ803" s="18"/>
      <c r="CN803" s="18"/>
      <c r="CO803" s="19"/>
      <c r="CP803" s="19"/>
      <c r="CQ803" s="19"/>
      <c r="CR803" s="19"/>
      <c r="CS803" s="19"/>
      <c r="CT803" s="19"/>
      <c r="CU803" s="20"/>
      <c r="CV803" s="20"/>
      <c r="DA803" s="18">
        <f t="shared" si="130"/>
        <v>0</v>
      </c>
      <c r="DB803" s="19">
        <f t="shared" si="131"/>
        <v>0</v>
      </c>
      <c r="DC803" s="19">
        <f t="shared" si="132"/>
        <v>0</v>
      </c>
      <c r="DD803" s="19">
        <f t="shared" si="133"/>
        <v>0</v>
      </c>
      <c r="DE803" s="19">
        <f t="shared" si="134"/>
        <v>0</v>
      </c>
      <c r="DF803" s="19">
        <f t="shared" si="135"/>
        <v>0</v>
      </c>
      <c r="DG803" s="19">
        <f t="shared" si="136"/>
        <v>0</v>
      </c>
      <c r="DH803" s="20">
        <f t="shared" si="137"/>
        <v>0</v>
      </c>
      <c r="DI803" s="20">
        <f t="shared" si="138"/>
        <v>0</v>
      </c>
    </row>
    <row r="804" spans="80:113" x14ac:dyDescent="0.3">
      <c r="CB804" s="18"/>
      <c r="CC804" s="19"/>
      <c r="CD804" s="19"/>
      <c r="CE804" s="19"/>
      <c r="CF804" s="19"/>
      <c r="CG804" s="19"/>
      <c r="CH804" s="19"/>
      <c r="CI804" s="18"/>
      <c r="CJ804" s="18"/>
      <c r="CN804" s="18"/>
      <c r="CO804" s="19"/>
      <c r="CP804" s="19"/>
      <c r="CQ804" s="19"/>
      <c r="CR804" s="19"/>
      <c r="CS804" s="19"/>
      <c r="CT804" s="19"/>
      <c r="CU804" s="20"/>
      <c r="CV804" s="20"/>
      <c r="DA804" s="18">
        <f t="shared" si="130"/>
        <v>0</v>
      </c>
      <c r="DB804" s="19">
        <f t="shared" si="131"/>
        <v>0</v>
      </c>
      <c r="DC804" s="19">
        <f t="shared" si="132"/>
        <v>0</v>
      </c>
      <c r="DD804" s="19">
        <f t="shared" si="133"/>
        <v>0</v>
      </c>
      <c r="DE804" s="19">
        <f t="shared" si="134"/>
        <v>0</v>
      </c>
      <c r="DF804" s="19">
        <f t="shared" si="135"/>
        <v>0</v>
      </c>
      <c r="DG804" s="19">
        <f t="shared" si="136"/>
        <v>0</v>
      </c>
      <c r="DH804" s="20">
        <f t="shared" si="137"/>
        <v>0</v>
      </c>
      <c r="DI804" s="20">
        <f t="shared" si="138"/>
        <v>0</v>
      </c>
    </row>
    <row r="805" spans="80:113" x14ac:dyDescent="0.3">
      <c r="CB805" s="18"/>
      <c r="CC805" s="19"/>
      <c r="CD805" s="19"/>
      <c r="CE805" s="19"/>
      <c r="CF805" s="19"/>
      <c r="CG805" s="19"/>
      <c r="CH805" s="19"/>
      <c r="CI805" s="18"/>
      <c r="CJ805" s="18"/>
      <c r="CN805" s="18"/>
      <c r="CO805" s="19"/>
      <c r="CP805" s="19"/>
      <c r="CQ805" s="19"/>
      <c r="CR805" s="19"/>
      <c r="CS805" s="19"/>
      <c r="CT805" s="19"/>
      <c r="CU805" s="20"/>
      <c r="CV805" s="20"/>
      <c r="DA805" s="18">
        <f t="shared" si="130"/>
        <v>0</v>
      </c>
      <c r="DB805" s="19">
        <f t="shared" si="131"/>
        <v>0</v>
      </c>
      <c r="DC805" s="19">
        <f t="shared" si="132"/>
        <v>0</v>
      </c>
      <c r="DD805" s="19">
        <f t="shared" si="133"/>
        <v>0</v>
      </c>
      <c r="DE805" s="19">
        <f t="shared" si="134"/>
        <v>0</v>
      </c>
      <c r="DF805" s="19">
        <f t="shared" si="135"/>
        <v>0</v>
      </c>
      <c r="DG805" s="19">
        <f t="shared" si="136"/>
        <v>0</v>
      </c>
      <c r="DH805" s="20">
        <f t="shared" si="137"/>
        <v>0</v>
      </c>
      <c r="DI805" s="20">
        <f t="shared" si="138"/>
        <v>0</v>
      </c>
    </row>
    <row r="806" spans="80:113" x14ac:dyDescent="0.3">
      <c r="CB806" s="18"/>
      <c r="CC806" s="19"/>
      <c r="CD806" s="19"/>
      <c r="CE806" s="19"/>
      <c r="CF806" s="19"/>
      <c r="CG806" s="19"/>
      <c r="CH806" s="19"/>
      <c r="CI806" s="18"/>
      <c r="CJ806" s="18"/>
      <c r="CN806" s="18"/>
      <c r="CO806" s="19"/>
      <c r="CP806" s="19"/>
      <c r="CQ806" s="19"/>
      <c r="CR806" s="19"/>
      <c r="CS806" s="19"/>
      <c r="CT806" s="19"/>
      <c r="CU806" s="20"/>
      <c r="CV806" s="20"/>
      <c r="DA806" s="18">
        <f t="shared" si="130"/>
        <v>0</v>
      </c>
      <c r="DB806" s="19">
        <f t="shared" si="131"/>
        <v>0</v>
      </c>
      <c r="DC806" s="19">
        <f t="shared" si="132"/>
        <v>0</v>
      </c>
      <c r="DD806" s="19">
        <f t="shared" si="133"/>
        <v>0</v>
      </c>
      <c r="DE806" s="19">
        <f t="shared" si="134"/>
        <v>0</v>
      </c>
      <c r="DF806" s="19">
        <f t="shared" si="135"/>
        <v>0</v>
      </c>
      <c r="DG806" s="19">
        <f t="shared" si="136"/>
        <v>0</v>
      </c>
      <c r="DH806" s="20">
        <f t="shared" si="137"/>
        <v>0</v>
      </c>
      <c r="DI806" s="20">
        <f t="shared" si="138"/>
        <v>0</v>
      </c>
    </row>
    <row r="807" spans="80:113" x14ac:dyDescent="0.3">
      <c r="CB807" s="18"/>
      <c r="CC807" s="19"/>
      <c r="CD807" s="19"/>
      <c r="CE807" s="19"/>
      <c r="CF807" s="19"/>
      <c r="CG807" s="19"/>
      <c r="CH807" s="19"/>
      <c r="CI807" s="18"/>
      <c r="CJ807" s="18"/>
      <c r="CN807" s="18"/>
      <c r="CO807" s="19"/>
      <c r="CP807" s="19"/>
      <c r="CQ807" s="19"/>
      <c r="CR807" s="19"/>
      <c r="CS807" s="19"/>
      <c r="CT807" s="19"/>
      <c r="CU807" s="20"/>
      <c r="CV807" s="20"/>
      <c r="DA807" s="18">
        <f t="shared" si="130"/>
        <v>0</v>
      </c>
      <c r="DB807" s="19">
        <f t="shared" si="131"/>
        <v>0</v>
      </c>
      <c r="DC807" s="19">
        <f t="shared" si="132"/>
        <v>0</v>
      </c>
      <c r="DD807" s="19">
        <f t="shared" si="133"/>
        <v>0</v>
      </c>
      <c r="DE807" s="19">
        <f t="shared" si="134"/>
        <v>0</v>
      </c>
      <c r="DF807" s="19">
        <f t="shared" si="135"/>
        <v>0</v>
      </c>
      <c r="DG807" s="19">
        <f t="shared" si="136"/>
        <v>0</v>
      </c>
      <c r="DH807" s="20">
        <f t="shared" si="137"/>
        <v>0</v>
      </c>
      <c r="DI807" s="20">
        <f t="shared" si="138"/>
        <v>0</v>
      </c>
    </row>
    <row r="808" spans="80:113" x14ac:dyDescent="0.3">
      <c r="CB808" s="18"/>
      <c r="CC808" s="19"/>
      <c r="CD808" s="19"/>
      <c r="CE808" s="19"/>
      <c r="CF808" s="19"/>
      <c r="CG808" s="19"/>
      <c r="CH808" s="19"/>
      <c r="CI808" s="18"/>
      <c r="CJ808" s="18"/>
      <c r="CN808" s="18"/>
      <c r="CO808" s="19"/>
      <c r="CP808" s="19"/>
      <c r="CQ808" s="19"/>
      <c r="CR808" s="19"/>
      <c r="CS808" s="19"/>
      <c r="CT808" s="19"/>
      <c r="CU808" s="20"/>
      <c r="CV808" s="20"/>
      <c r="DA808" s="18">
        <f t="shared" si="130"/>
        <v>0</v>
      </c>
      <c r="DB808" s="19">
        <f t="shared" si="131"/>
        <v>0</v>
      </c>
      <c r="DC808" s="19">
        <f t="shared" si="132"/>
        <v>0</v>
      </c>
      <c r="DD808" s="19">
        <f t="shared" si="133"/>
        <v>0</v>
      </c>
      <c r="DE808" s="19">
        <f t="shared" si="134"/>
        <v>0</v>
      </c>
      <c r="DF808" s="19">
        <f t="shared" si="135"/>
        <v>0</v>
      </c>
      <c r="DG808" s="19">
        <f t="shared" si="136"/>
        <v>0</v>
      </c>
      <c r="DH808" s="20">
        <f t="shared" si="137"/>
        <v>0</v>
      </c>
      <c r="DI808" s="20">
        <f t="shared" si="138"/>
        <v>0</v>
      </c>
    </row>
    <row r="809" spans="80:113" x14ac:dyDescent="0.3">
      <c r="CB809" s="18"/>
      <c r="CC809" s="19"/>
      <c r="CD809" s="19"/>
      <c r="CE809" s="19"/>
      <c r="CF809" s="19"/>
      <c r="CG809" s="19"/>
      <c r="CH809" s="19"/>
      <c r="CI809" s="18"/>
      <c r="CJ809" s="18"/>
      <c r="CN809" s="18"/>
      <c r="CO809" s="19"/>
      <c r="CP809" s="19"/>
      <c r="CQ809" s="19"/>
      <c r="CR809" s="19"/>
      <c r="CS809" s="19"/>
      <c r="CT809" s="19"/>
      <c r="CU809" s="20"/>
      <c r="CV809" s="20"/>
      <c r="DA809" s="18">
        <f t="shared" si="130"/>
        <v>0</v>
      </c>
      <c r="DB809" s="19">
        <f t="shared" si="131"/>
        <v>0</v>
      </c>
      <c r="DC809" s="19">
        <f t="shared" si="132"/>
        <v>0</v>
      </c>
      <c r="DD809" s="19">
        <f t="shared" si="133"/>
        <v>0</v>
      </c>
      <c r="DE809" s="19">
        <f t="shared" si="134"/>
        <v>0</v>
      </c>
      <c r="DF809" s="19">
        <f t="shared" si="135"/>
        <v>0</v>
      </c>
      <c r="DG809" s="19">
        <f t="shared" si="136"/>
        <v>0</v>
      </c>
      <c r="DH809" s="20">
        <f t="shared" si="137"/>
        <v>0</v>
      </c>
      <c r="DI809" s="20">
        <f t="shared" si="138"/>
        <v>0</v>
      </c>
    </row>
    <row r="810" spans="80:113" x14ac:dyDescent="0.3">
      <c r="CB810" s="18"/>
      <c r="CC810" s="19"/>
      <c r="CD810" s="19"/>
      <c r="CE810" s="19"/>
      <c r="CF810" s="19"/>
      <c r="CG810" s="19"/>
      <c r="CH810" s="19"/>
      <c r="CI810" s="18"/>
      <c r="CJ810" s="18"/>
      <c r="CN810" s="18"/>
      <c r="CO810" s="19"/>
      <c r="CP810" s="19"/>
      <c r="CQ810" s="19"/>
      <c r="CR810" s="19"/>
      <c r="CS810" s="19"/>
      <c r="CT810" s="19"/>
      <c r="CU810" s="20"/>
      <c r="CV810" s="20"/>
      <c r="DA810" s="18">
        <f t="shared" si="130"/>
        <v>0</v>
      </c>
      <c r="DB810" s="19">
        <f t="shared" si="131"/>
        <v>0</v>
      </c>
      <c r="DC810" s="19">
        <f t="shared" si="132"/>
        <v>0</v>
      </c>
      <c r="DD810" s="19">
        <f t="shared" si="133"/>
        <v>0</v>
      </c>
      <c r="DE810" s="19">
        <f t="shared" si="134"/>
        <v>0</v>
      </c>
      <c r="DF810" s="19">
        <f t="shared" si="135"/>
        <v>0</v>
      </c>
      <c r="DG810" s="19">
        <f t="shared" si="136"/>
        <v>0</v>
      </c>
      <c r="DH810" s="20">
        <f t="shared" si="137"/>
        <v>0</v>
      </c>
      <c r="DI810" s="20">
        <f t="shared" si="138"/>
        <v>0</v>
      </c>
    </row>
    <row r="811" spans="80:113" x14ac:dyDescent="0.3">
      <c r="CB811" s="18"/>
      <c r="CC811" s="19"/>
      <c r="CD811" s="19"/>
      <c r="CE811" s="19"/>
      <c r="CF811" s="19"/>
      <c r="CG811" s="19"/>
      <c r="CH811" s="19"/>
      <c r="CI811" s="18"/>
      <c r="CJ811" s="18"/>
      <c r="CN811" s="18"/>
      <c r="CO811" s="19"/>
      <c r="CP811" s="19"/>
      <c r="CQ811" s="19"/>
      <c r="CR811" s="19"/>
      <c r="CS811" s="19"/>
      <c r="CT811" s="19"/>
      <c r="CU811" s="20"/>
      <c r="CV811" s="20"/>
      <c r="DA811" s="18">
        <f t="shared" si="130"/>
        <v>0</v>
      </c>
      <c r="DB811" s="19">
        <f t="shared" si="131"/>
        <v>0</v>
      </c>
      <c r="DC811" s="19">
        <f t="shared" si="132"/>
        <v>0</v>
      </c>
      <c r="DD811" s="19">
        <f t="shared" si="133"/>
        <v>0</v>
      </c>
      <c r="DE811" s="19">
        <f t="shared" si="134"/>
        <v>0</v>
      </c>
      <c r="DF811" s="19">
        <f t="shared" si="135"/>
        <v>0</v>
      </c>
      <c r="DG811" s="19">
        <f t="shared" si="136"/>
        <v>0</v>
      </c>
      <c r="DH811" s="20">
        <f t="shared" si="137"/>
        <v>0</v>
      </c>
      <c r="DI811" s="20">
        <f t="shared" si="138"/>
        <v>0</v>
      </c>
    </row>
    <row r="812" spans="80:113" x14ac:dyDescent="0.3">
      <c r="CB812" s="18"/>
      <c r="CC812" s="19"/>
      <c r="CD812" s="19"/>
      <c r="CE812" s="19"/>
      <c r="CF812" s="19"/>
      <c r="CG812" s="19"/>
      <c r="CH812" s="19"/>
      <c r="CI812" s="18"/>
      <c r="CJ812" s="18"/>
      <c r="CN812" s="18"/>
      <c r="CO812" s="19"/>
      <c r="CP812" s="19"/>
      <c r="CQ812" s="19"/>
      <c r="CR812" s="19"/>
      <c r="CS812" s="19"/>
      <c r="CT812" s="19"/>
      <c r="CU812" s="20"/>
      <c r="CV812" s="20"/>
      <c r="DA812" s="18">
        <f t="shared" si="130"/>
        <v>0</v>
      </c>
      <c r="DB812" s="19">
        <f t="shared" si="131"/>
        <v>0</v>
      </c>
      <c r="DC812" s="19">
        <f t="shared" si="132"/>
        <v>0</v>
      </c>
      <c r="DD812" s="19">
        <f t="shared" si="133"/>
        <v>0</v>
      </c>
      <c r="DE812" s="19">
        <f t="shared" si="134"/>
        <v>0</v>
      </c>
      <c r="DF812" s="19">
        <f t="shared" si="135"/>
        <v>0</v>
      </c>
      <c r="DG812" s="19">
        <f t="shared" si="136"/>
        <v>0</v>
      </c>
      <c r="DH812" s="20">
        <f t="shared" si="137"/>
        <v>0</v>
      </c>
      <c r="DI812" s="20">
        <f t="shared" si="138"/>
        <v>0</v>
      </c>
    </row>
    <row r="813" spans="80:113" x14ac:dyDescent="0.3">
      <c r="CB813" s="18"/>
      <c r="CC813" s="19"/>
      <c r="CD813" s="19"/>
      <c r="CE813" s="19"/>
      <c r="CF813" s="19"/>
      <c r="CG813" s="19"/>
      <c r="CH813" s="19"/>
      <c r="CI813" s="18"/>
      <c r="CJ813" s="18"/>
      <c r="CN813" s="18"/>
      <c r="CO813" s="19"/>
      <c r="CP813" s="19"/>
      <c r="CQ813" s="19"/>
      <c r="CR813" s="19"/>
      <c r="CS813" s="19"/>
      <c r="CT813" s="19"/>
      <c r="CU813" s="20"/>
      <c r="CV813" s="20"/>
      <c r="DA813" s="18">
        <f t="shared" si="130"/>
        <v>0</v>
      </c>
      <c r="DB813" s="19">
        <f t="shared" si="131"/>
        <v>0</v>
      </c>
      <c r="DC813" s="19">
        <f t="shared" si="132"/>
        <v>0</v>
      </c>
      <c r="DD813" s="19">
        <f t="shared" si="133"/>
        <v>0</v>
      </c>
      <c r="DE813" s="19">
        <f t="shared" si="134"/>
        <v>0</v>
      </c>
      <c r="DF813" s="19">
        <f t="shared" si="135"/>
        <v>0</v>
      </c>
      <c r="DG813" s="19">
        <f t="shared" si="136"/>
        <v>0</v>
      </c>
      <c r="DH813" s="20">
        <f t="shared" si="137"/>
        <v>0</v>
      </c>
      <c r="DI813" s="20">
        <f t="shared" si="138"/>
        <v>0</v>
      </c>
    </row>
    <row r="814" spans="80:113" x14ac:dyDescent="0.3">
      <c r="CB814" s="18"/>
      <c r="CC814" s="19"/>
      <c r="CD814" s="19"/>
      <c r="CE814" s="19"/>
      <c r="CF814" s="19"/>
      <c r="CG814" s="19"/>
      <c r="CH814" s="19"/>
      <c r="CI814" s="18"/>
      <c r="CJ814" s="18"/>
      <c r="CN814" s="18"/>
      <c r="CO814" s="19"/>
      <c r="CP814" s="19"/>
      <c r="CQ814" s="19"/>
      <c r="CR814" s="19"/>
      <c r="CS814" s="19"/>
      <c r="CT814" s="19"/>
      <c r="CU814" s="20"/>
      <c r="CV814" s="20"/>
      <c r="DA814" s="18">
        <f t="shared" si="130"/>
        <v>0</v>
      </c>
      <c r="DB814" s="19">
        <f t="shared" si="131"/>
        <v>0</v>
      </c>
      <c r="DC814" s="19">
        <f t="shared" si="132"/>
        <v>0</v>
      </c>
      <c r="DD814" s="19">
        <f t="shared" si="133"/>
        <v>0</v>
      </c>
      <c r="DE814" s="19">
        <f t="shared" si="134"/>
        <v>0</v>
      </c>
      <c r="DF814" s="19">
        <f t="shared" si="135"/>
        <v>0</v>
      </c>
      <c r="DG814" s="19">
        <f t="shared" si="136"/>
        <v>0</v>
      </c>
      <c r="DH814" s="20">
        <f t="shared" si="137"/>
        <v>0</v>
      </c>
      <c r="DI814" s="20">
        <f t="shared" si="138"/>
        <v>0</v>
      </c>
    </row>
    <row r="815" spans="80:113" x14ac:dyDescent="0.3">
      <c r="CB815" s="18"/>
      <c r="CC815" s="19"/>
      <c r="CD815" s="19"/>
      <c r="CE815" s="19"/>
      <c r="CF815" s="19"/>
      <c r="CG815" s="19"/>
      <c r="CH815" s="19"/>
      <c r="CI815" s="18"/>
      <c r="CJ815" s="18"/>
      <c r="CN815" s="18"/>
      <c r="CO815" s="19"/>
      <c r="CP815" s="19"/>
      <c r="CQ815" s="19"/>
      <c r="CR815" s="19"/>
      <c r="CS815" s="19"/>
      <c r="CT815" s="19"/>
      <c r="CU815" s="20"/>
      <c r="CV815" s="20"/>
      <c r="DA815" s="18">
        <f t="shared" si="130"/>
        <v>0</v>
      </c>
      <c r="DB815" s="19">
        <f t="shared" si="131"/>
        <v>0</v>
      </c>
      <c r="DC815" s="19">
        <f t="shared" si="132"/>
        <v>0</v>
      </c>
      <c r="DD815" s="19">
        <f t="shared" si="133"/>
        <v>0</v>
      </c>
      <c r="DE815" s="19">
        <f t="shared" si="134"/>
        <v>0</v>
      </c>
      <c r="DF815" s="19">
        <f t="shared" si="135"/>
        <v>0</v>
      </c>
      <c r="DG815" s="19">
        <f t="shared" si="136"/>
        <v>0</v>
      </c>
      <c r="DH815" s="20">
        <f t="shared" si="137"/>
        <v>0</v>
      </c>
      <c r="DI815" s="20">
        <f t="shared" si="138"/>
        <v>0</v>
      </c>
    </row>
    <row r="816" spans="80:113" x14ac:dyDescent="0.3">
      <c r="CB816" s="18"/>
      <c r="CC816" s="19"/>
      <c r="CD816" s="19"/>
      <c r="CE816" s="19"/>
      <c r="CF816" s="19"/>
      <c r="CG816" s="19"/>
      <c r="CH816" s="19"/>
      <c r="CI816" s="18"/>
      <c r="CJ816" s="18"/>
      <c r="CN816" s="18"/>
      <c r="CO816" s="19"/>
      <c r="CP816" s="19"/>
      <c r="CQ816" s="19"/>
      <c r="CR816" s="19"/>
      <c r="CS816" s="19"/>
      <c r="CT816" s="19"/>
      <c r="CU816" s="20"/>
      <c r="CV816" s="20"/>
      <c r="DA816" s="18">
        <f t="shared" si="130"/>
        <v>0</v>
      </c>
      <c r="DB816" s="19">
        <f t="shared" si="131"/>
        <v>0</v>
      </c>
      <c r="DC816" s="19">
        <f t="shared" si="132"/>
        <v>0</v>
      </c>
      <c r="DD816" s="19">
        <f t="shared" si="133"/>
        <v>0</v>
      </c>
      <c r="DE816" s="19">
        <f t="shared" si="134"/>
        <v>0</v>
      </c>
      <c r="DF816" s="19">
        <f t="shared" si="135"/>
        <v>0</v>
      </c>
      <c r="DG816" s="19">
        <f t="shared" si="136"/>
        <v>0</v>
      </c>
      <c r="DH816" s="20">
        <f t="shared" si="137"/>
        <v>0</v>
      </c>
      <c r="DI816" s="20">
        <f t="shared" si="138"/>
        <v>0</v>
      </c>
    </row>
    <row r="817" spans="80:113" x14ac:dyDescent="0.3">
      <c r="CB817" s="18"/>
      <c r="CC817" s="19"/>
      <c r="CD817" s="19"/>
      <c r="CE817" s="19"/>
      <c r="CF817" s="19"/>
      <c r="CG817" s="19"/>
      <c r="CH817" s="19"/>
      <c r="CI817" s="18"/>
      <c r="CJ817" s="18"/>
      <c r="CN817" s="18"/>
      <c r="CO817" s="19"/>
      <c r="CP817" s="19"/>
      <c r="CQ817" s="19"/>
      <c r="CR817" s="19"/>
      <c r="CS817" s="19"/>
      <c r="CT817" s="19"/>
      <c r="CU817" s="20"/>
      <c r="CV817" s="20"/>
      <c r="DA817" s="18">
        <f t="shared" si="130"/>
        <v>0</v>
      </c>
      <c r="DB817" s="19">
        <f t="shared" si="131"/>
        <v>0</v>
      </c>
      <c r="DC817" s="19">
        <f t="shared" si="132"/>
        <v>0</v>
      </c>
      <c r="DD817" s="19">
        <f t="shared" si="133"/>
        <v>0</v>
      </c>
      <c r="DE817" s="19">
        <f t="shared" si="134"/>
        <v>0</v>
      </c>
      <c r="DF817" s="19">
        <f t="shared" si="135"/>
        <v>0</v>
      </c>
      <c r="DG817" s="19">
        <f t="shared" si="136"/>
        <v>0</v>
      </c>
      <c r="DH817" s="20">
        <f t="shared" si="137"/>
        <v>0</v>
      </c>
      <c r="DI817" s="20">
        <f t="shared" si="138"/>
        <v>0</v>
      </c>
    </row>
    <row r="818" spans="80:113" x14ac:dyDescent="0.3">
      <c r="CB818" s="18"/>
      <c r="CC818" s="19"/>
      <c r="CD818" s="19"/>
      <c r="CE818" s="19"/>
      <c r="CF818" s="19"/>
      <c r="CG818" s="19"/>
      <c r="CH818" s="19"/>
      <c r="CI818" s="18"/>
      <c r="CJ818" s="18"/>
      <c r="CN818" s="18"/>
      <c r="CO818" s="19"/>
      <c r="CP818" s="19"/>
      <c r="CQ818" s="19"/>
      <c r="CR818" s="19"/>
      <c r="CS818" s="19"/>
      <c r="CT818" s="19"/>
      <c r="CU818" s="20"/>
      <c r="CV818" s="20"/>
      <c r="DA818" s="18">
        <f t="shared" si="130"/>
        <v>0</v>
      </c>
      <c r="DB818" s="19">
        <f t="shared" si="131"/>
        <v>0</v>
      </c>
      <c r="DC818" s="19">
        <f t="shared" si="132"/>
        <v>0</v>
      </c>
      <c r="DD818" s="19">
        <f t="shared" si="133"/>
        <v>0</v>
      </c>
      <c r="DE818" s="19">
        <f t="shared" si="134"/>
        <v>0</v>
      </c>
      <c r="DF818" s="19">
        <f t="shared" si="135"/>
        <v>0</v>
      </c>
      <c r="DG818" s="19">
        <f t="shared" si="136"/>
        <v>0</v>
      </c>
      <c r="DH818" s="20">
        <f t="shared" si="137"/>
        <v>0</v>
      </c>
      <c r="DI818" s="20">
        <f t="shared" si="138"/>
        <v>0</v>
      </c>
    </row>
    <row r="819" spans="80:113" x14ac:dyDescent="0.3">
      <c r="CB819" s="18"/>
      <c r="CC819" s="19"/>
      <c r="CD819" s="19"/>
      <c r="CE819" s="19"/>
      <c r="CF819" s="19"/>
      <c r="CG819" s="19"/>
      <c r="CH819" s="19"/>
      <c r="CI819" s="18"/>
      <c r="CJ819" s="18"/>
      <c r="CN819" s="18"/>
      <c r="CO819" s="19"/>
      <c r="CP819" s="19"/>
      <c r="CQ819" s="19"/>
      <c r="CR819" s="19"/>
      <c r="CS819" s="19"/>
      <c r="CT819" s="19"/>
      <c r="CU819" s="20"/>
      <c r="CV819" s="20"/>
      <c r="DA819" s="18">
        <f t="shared" si="130"/>
        <v>0</v>
      </c>
      <c r="DB819" s="19">
        <f t="shared" si="131"/>
        <v>0</v>
      </c>
      <c r="DC819" s="19">
        <f t="shared" si="132"/>
        <v>0</v>
      </c>
      <c r="DD819" s="19">
        <f t="shared" si="133"/>
        <v>0</v>
      </c>
      <c r="DE819" s="19">
        <f t="shared" si="134"/>
        <v>0</v>
      </c>
      <c r="DF819" s="19">
        <f t="shared" si="135"/>
        <v>0</v>
      </c>
      <c r="DG819" s="19">
        <f t="shared" si="136"/>
        <v>0</v>
      </c>
      <c r="DH819" s="20">
        <f t="shared" si="137"/>
        <v>0</v>
      </c>
      <c r="DI819" s="20">
        <f t="shared" si="138"/>
        <v>0</v>
      </c>
    </row>
    <row r="820" spans="80:113" x14ac:dyDescent="0.3">
      <c r="CB820" s="18"/>
      <c r="CC820" s="19"/>
      <c r="CD820" s="19"/>
      <c r="CE820" s="19"/>
      <c r="CF820" s="19"/>
      <c r="CG820" s="19"/>
      <c r="CH820" s="19"/>
      <c r="CI820" s="18"/>
      <c r="CJ820" s="18"/>
      <c r="CN820" s="18"/>
      <c r="CO820" s="19"/>
      <c r="CP820" s="19"/>
      <c r="CQ820" s="19"/>
      <c r="CR820" s="19"/>
      <c r="CS820" s="19"/>
      <c r="CT820" s="19"/>
      <c r="CU820" s="20"/>
      <c r="CV820" s="20"/>
      <c r="DA820" s="18">
        <f t="shared" si="130"/>
        <v>0</v>
      </c>
      <c r="DB820" s="19">
        <f t="shared" si="131"/>
        <v>0</v>
      </c>
      <c r="DC820" s="19">
        <f t="shared" si="132"/>
        <v>0</v>
      </c>
      <c r="DD820" s="19">
        <f t="shared" si="133"/>
        <v>0</v>
      </c>
      <c r="DE820" s="19">
        <f t="shared" si="134"/>
        <v>0</v>
      </c>
      <c r="DF820" s="19">
        <f t="shared" si="135"/>
        <v>0</v>
      </c>
      <c r="DG820" s="19">
        <f t="shared" si="136"/>
        <v>0</v>
      </c>
      <c r="DH820" s="20">
        <f t="shared" si="137"/>
        <v>0</v>
      </c>
      <c r="DI820" s="20">
        <f t="shared" si="138"/>
        <v>0</v>
      </c>
    </row>
    <row r="821" spans="80:113" x14ac:dyDescent="0.3">
      <c r="CB821" s="18"/>
      <c r="CC821" s="19"/>
      <c r="CD821" s="19"/>
      <c r="CE821" s="19"/>
      <c r="CF821" s="19"/>
      <c r="CG821" s="19"/>
      <c r="CH821" s="19"/>
      <c r="CI821" s="18"/>
      <c r="CJ821" s="18"/>
      <c r="CN821" s="18"/>
      <c r="CO821" s="19"/>
      <c r="CP821" s="19"/>
      <c r="CQ821" s="19"/>
      <c r="CR821" s="19"/>
      <c r="CS821" s="19"/>
      <c r="CT821" s="19"/>
      <c r="CU821" s="20"/>
      <c r="CV821" s="20"/>
      <c r="DA821" s="18">
        <f t="shared" si="130"/>
        <v>0</v>
      </c>
      <c r="DB821" s="19">
        <f t="shared" si="131"/>
        <v>0</v>
      </c>
      <c r="DC821" s="19">
        <f t="shared" si="132"/>
        <v>0</v>
      </c>
      <c r="DD821" s="19">
        <f t="shared" si="133"/>
        <v>0</v>
      </c>
      <c r="DE821" s="19">
        <f t="shared" si="134"/>
        <v>0</v>
      </c>
      <c r="DF821" s="19">
        <f t="shared" si="135"/>
        <v>0</v>
      </c>
      <c r="DG821" s="19">
        <f t="shared" si="136"/>
        <v>0</v>
      </c>
      <c r="DH821" s="20">
        <f t="shared" si="137"/>
        <v>0</v>
      </c>
      <c r="DI821" s="20">
        <f t="shared" si="138"/>
        <v>0</v>
      </c>
    </row>
    <row r="822" spans="80:113" x14ac:dyDescent="0.3">
      <c r="CB822" s="18"/>
      <c r="CC822" s="19"/>
      <c r="CD822" s="19"/>
      <c r="CE822" s="19"/>
      <c r="CF822" s="19"/>
      <c r="CG822" s="19"/>
      <c r="CH822" s="19"/>
      <c r="CI822" s="18"/>
      <c r="CJ822" s="18"/>
      <c r="CN822" s="18"/>
      <c r="CO822" s="19"/>
      <c r="CP822" s="19"/>
      <c r="CQ822" s="19"/>
      <c r="CR822" s="19"/>
      <c r="CS822" s="19"/>
      <c r="CT822" s="19"/>
      <c r="CU822" s="20"/>
      <c r="CV822" s="20"/>
      <c r="DA822" s="18">
        <f t="shared" si="130"/>
        <v>0</v>
      </c>
      <c r="DB822" s="19">
        <f t="shared" si="131"/>
        <v>0</v>
      </c>
      <c r="DC822" s="19">
        <f t="shared" si="132"/>
        <v>0</v>
      </c>
      <c r="DD822" s="19">
        <f t="shared" si="133"/>
        <v>0</v>
      </c>
      <c r="DE822" s="19">
        <f t="shared" si="134"/>
        <v>0</v>
      </c>
      <c r="DF822" s="19">
        <f t="shared" si="135"/>
        <v>0</v>
      </c>
      <c r="DG822" s="19">
        <f t="shared" si="136"/>
        <v>0</v>
      </c>
      <c r="DH822" s="20">
        <f t="shared" si="137"/>
        <v>0</v>
      </c>
      <c r="DI822" s="20">
        <f t="shared" si="138"/>
        <v>0</v>
      </c>
    </row>
    <row r="823" spans="80:113" x14ac:dyDescent="0.3">
      <c r="CB823" s="18"/>
      <c r="CC823" s="19"/>
      <c r="CD823" s="19"/>
      <c r="CE823" s="19"/>
      <c r="CF823" s="19"/>
      <c r="CG823" s="19"/>
      <c r="CH823" s="19"/>
      <c r="CI823" s="18"/>
      <c r="CJ823" s="18"/>
      <c r="CN823" s="18"/>
      <c r="CO823" s="19"/>
      <c r="CP823" s="19"/>
      <c r="CQ823" s="19"/>
      <c r="CR823" s="19"/>
      <c r="CS823" s="19"/>
      <c r="CT823" s="19"/>
      <c r="CU823" s="20"/>
      <c r="CV823" s="20"/>
      <c r="DA823" s="18">
        <f t="shared" si="130"/>
        <v>0</v>
      </c>
      <c r="DB823" s="19">
        <f t="shared" si="131"/>
        <v>0</v>
      </c>
      <c r="DC823" s="19">
        <f t="shared" si="132"/>
        <v>0</v>
      </c>
      <c r="DD823" s="19">
        <f t="shared" si="133"/>
        <v>0</v>
      </c>
      <c r="DE823" s="19">
        <f t="shared" si="134"/>
        <v>0</v>
      </c>
      <c r="DF823" s="19">
        <f t="shared" si="135"/>
        <v>0</v>
      </c>
      <c r="DG823" s="19">
        <f t="shared" si="136"/>
        <v>0</v>
      </c>
      <c r="DH823" s="20">
        <f t="shared" si="137"/>
        <v>0</v>
      </c>
      <c r="DI823" s="20">
        <f t="shared" si="138"/>
        <v>0</v>
      </c>
    </row>
    <row r="824" spans="80:113" x14ac:dyDescent="0.3">
      <c r="CB824" s="18"/>
      <c r="CC824" s="19"/>
      <c r="CD824" s="19"/>
      <c r="CE824" s="19"/>
      <c r="CF824" s="19"/>
      <c r="CG824" s="19"/>
      <c r="CH824" s="19"/>
      <c r="CI824" s="18"/>
      <c r="CJ824" s="18"/>
      <c r="CN824" s="18"/>
      <c r="CO824" s="19"/>
      <c r="CP824" s="19"/>
      <c r="CQ824" s="19"/>
      <c r="CR824" s="19"/>
      <c r="CS824" s="19"/>
      <c r="CT824" s="19"/>
      <c r="CU824" s="20"/>
      <c r="CV824" s="20"/>
      <c r="DA824" s="18">
        <f t="shared" si="130"/>
        <v>0</v>
      </c>
      <c r="DB824" s="19">
        <f t="shared" si="131"/>
        <v>0</v>
      </c>
      <c r="DC824" s="19">
        <f t="shared" si="132"/>
        <v>0</v>
      </c>
      <c r="DD824" s="19">
        <f t="shared" si="133"/>
        <v>0</v>
      </c>
      <c r="DE824" s="19">
        <f t="shared" si="134"/>
        <v>0</v>
      </c>
      <c r="DF824" s="19">
        <f t="shared" si="135"/>
        <v>0</v>
      </c>
      <c r="DG824" s="19">
        <f t="shared" si="136"/>
        <v>0</v>
      </c>
      <c r="DH824" s="20">
        <f t="shared" si="137"/>
        <v>0</v>
      </c>
      <c r="DI824" s="20">
        <f t="shared" si="138"/>
        <v>0</v>
      </c>
    </row>
    <row r="825" spans="80:113" x14ac:dyDescent="0.3">
      <c r="CB825" s="18"/>
      <c r="CC825" s="19"/>
      <c r="CD825" s="19"/>
      <c r="CE825" s="19"/>
      <c r="CF825" s="19"/>
      <c r="CG825" s="19"/>
      <c r="CH825" s="19"/>
      <c r="CI825" s="18"/>
      <c r="CJ825" s="18"/>
      <c r="CN825" s="18"/>
      <c r="CO825" s="19"/>
      <c r="CP825" s="19"/>
      <c r="CQ825" s="19"/>
      <c r="CR825" s="19"/>
      <c r="CS825" s="19"/>
      <c r="CT825" s="19"/>
      <c r="CU825" s="20"/>
      <c r="CV825" s="20"/>
      <c r="DA825" s="18">
        <f t="shared" si="130"/>
        <v>0</v>
      </c>
      <c r="DB825" s="19">
        <f t="shared" si="131"/>
        <v>0</v>
      </c>
      <c r="DC825" s="19">
        <f t="shared" si="132"/>
        <v>0</v>
      </c>
      <c r="DD825" s="19">
        <f t="shared" si="133"/>
        <v>0</v>
      </c>
      <c r="DE825" s="19">
        <f t="shared" si="134"/>
        <v>0</v>
      </c>
      <c r="DF825" s="19">
        <f t="shared" si="135"/>
        <v>0</v>
      </c>
      <c r="DG825" s="19">
        <f t="shared" si="136"/>
        <v>0</v>
      </c>
      <c r="DH825" s="20">
        <f t="shared" si="137"/>
        <v>0</v>
      </c>
      <c r="DI825" s="20">
        <f t="shared" si="138"/>
        <v>0</v>
      </c>
    </row>
    <row r="826" spans="80:113" x14ac:dyDescent="0.3">
      <c r="CB826" s="18"/>
      <c r="CC826" s="19"/>
      <c r="CD826" s="19"/>
      <c r="CE826" s="19"/>
      <c r="CF826" s="19"/>
      <c r="CG826" s="19"/>
      <c r="CH826" s="19"/>
      <c r="CI826" s="18"/>
      <c r="CJ826" s="18"/>
      <c r="CN826" s="18"/>
      <c r="CO826" s="19"/>
      <c r="CP826" s="19"/>
      <c r="CQ826" s="19"/>
      <c r="CR826" s="19"/>
      <c r="CS826" s="19"/>
      <c r="CT826" s="19"/>
      <c r="CU826" s="20"/>
      <c r="CV826" s="20"/>
      <c r="DA826" s="18">
        <f t="shared" si="130"/>
        <v>0</v>
      </c>
      <c r="DB826" s="19">
        <f t="shared" si="131"/>
        <v>0</v>
      </c>
      <c r="DC826" s="19">
        <f t="shared" si="132"/>
        <v>0</v>
      </c>
      <c r="DD826" s="19">
        <f t="shared" si="133"/>
        <v>0</v>
      </c>
      <c r="DE826" s="19">
        <f t="shared" si="134"/>
        <v>0</v>
      </c>
      <c r="DF826" s="19">
        <f t="shared" si="135"/>
        <v>0</v>
      </c>
      <c r="DG826" s="19">
        <f t="shared" si="136"/>
        <v>0</v>
      </c>
      <c r="DH826" s="20">
        <f t="shared" si="137"/>
        <v>0</v>
      </c>
      <c r="DI826" s="20">
        <f t="shared" si="138"/>
        <v>0</v>
      </c>
    </row>
    <row r="827" spans="80:113" x14ac:dyDescent="0.3">
      <c r="CB827" s="18"/>
      <c r="CC827" s="19"/>
      <c r="CD827" s="19"/>
      <c r="CE827" s="19"/>
      <c r="CF827" s="19"/>
      <c r="CG827" s="19"/>
      <c r="CH827" s="19"/>
      <c r="CI827" s="18"/>
      <c r="CJ827" s="18"/>
      <c r="CN827" s="18"/>
      <c r="CO827" s="19"/>
      <c r="CP827" s="19"/>
      <c r="CQ827" s="19"/>
      <c r="CR827" s="19"/>
      <c r="CS827" s="19"/>
      <c r="CT827" s="19"/>
      <c r="CU827" s="20"/>
      <c r="CV827" s="20"/>
      <c r="DA827" s="18">
        <f t="shared" si="130"/>
        <v>0</v>
      </c>
      <c r="DB827" s="19">
        <f t="shared" si="131"/>
        <v>0</v>
      </c>
      <c r="DC827" s="19">
        <f t="shared" si="132"/>
        <v>0</v>
      </c>
      <c r="DD827" s="19">
        <f t="shared" si="133"/>
        <v>0</v>
      </c>
      <c r="DE827" s="19">
        <f t="shared" si="134"/>
        <v>0</v>
      </c>
      <c r="DF827" s="19">
        <f t="shared" si="135"/>
        <v>0</v>
      </c>
      <c r="DG827" s="19">
        <f t="shared" si="136"/>
        <v>0</v>
      </c>
      <c r="DH827" s="20">
        <f t="shared" si="137"/>
        <v>0</v>
      </c>
      <c r="DI827" s="20">
        <f t="shared" si="138"/>
        <v>0</v>
      </c>
    </row>
    <row r="828" spans="80:113" x14ac:dyDescent="0.3">
      <c r="CB828" s="18"/>
      <c r="CC828" s="19"/>
      <c r="CD828" s="19"/>
      <c r="CE828" s="19"/>
      <c r="CF828" s="19"/>
      <c r="CG828" s="19"/>
      <c r="CH828" s="19"/>
      <c r="CI828" s="18"/>
      <c r="CJ828" s="18"/>
      <c r="CN828" s="18"/>
      <c r="CO828" s="19"/>
      <c r="CP828" s="19"/>
      <c r="CQ828" s="19"/>
      <c r="CR828" s="19"/>
      <c r="CS828" s="19"/>
      <c r="CT828" s="19"/>
      <c r="CU828" s="20"/>
      <c r="CV828" s="20"/>
      <c r="DA828" s="18">
        <f t="shared" si="130"/>
        <v>0</v>
      </c>
      <c r="DB828" s="19">
        <f t="shared" si="131"/>
        <v>0</v>
      </c>
      <c r="DC828" s="19">
        <f t="shared" si="132"/>
        <v>0</v>
      </c>
      <c r="DD828" s="19">
        <f t="shared" si="133"/>
        <v>0</v>
      </c>
      <c r="DE828" s="19">
        <f t="shared" si="134"/>
        <v>0</v>
      </c>
      <c r="DF828" s="19">
        <f t="shared" si="135"/>
        <v>0</v>
      </c>
      <c r="DG828" s="19">
        <f t="shared" si="136"/>
        <v>0</v>
      </c>
      <c r="DH828" s="20">
        <f t="shared" si="137"/>
        <v>0</v>
      </c>
      <c r="DI828" s="20">
        <f t="shared" si="138"/>
        <v>0</v>
      </c>
    </row>
    <row r="829" spans="80:113" x14ac:dyDescent="0.3">
      <c r="CB829" s="18"/>
      <c r="CC829" s="19"/>
      <c r="CD829" s="19"/>
      <c r="CE829" s="19"/>
      <c r="CF829" s="19"/>
      <c r="CG829" s="19"/>
      <c r="CH829" s="19"/>
      <c r="CI829" s="18"/>
      <c r="CJ829" s="18"/>
      <c r="CN829" s="18"/>
      <c r="CO829" s="19"/>
      <c r="CP829" s="19"/>
      <c r="CQ829" s="19"/>
      <c r="CR829" s="19"/>
      <c r="CS829" s="19"/>
      <c r="CT829" s="19"/>
      <c r="CU829" s="20"/>
      <c r="CV829" s="20"/>
      <c r="DA829" s="18">
        <f t="shared" si="130"/>
        <v>0</v>
      </c>
      <c r="DB829" s="19">
        <f t="shared" si="131"/>
        <v>0</v>
      </c>
      <c r="DC829" s="19">
        <f t="shared" si="132"/>
        <v>0</v>
      </c>
      <c r="DD829" s="19">
        <f t="shared" si="133"/>
        <v>0</v>
      </c>
      <c r="DE829" s="19">
        <f t="shared" si="134"/>
        <v>0</v>
      </c>
      <c r="DF829" s="19">
        <f t="shared" si="135"/>
        <v>0</v>
      </c>
      <c r="DG829" s="19">
        <f t="shared" si="136"/>
        <v>0</v>
      </c>
      <c r="DH829" s="20">
        <f t="shared" si="137"/>
        <v>0</v>
      </c>
      <c r="DI829" s="20">
        <f t="shared" si="138"/>
        <v>0</v>
      </c>
    </row>
    <row r="830" spans="80:113" x14ac:dyDescent="0.3">
      <c r="CB830" s="18"/>
      <c r="CC830" s="19"/>
      <c r="CD830" s="19"/>
      <c r="CE830" s="19"/>
      <c r="CF830" s="19"/>
      <c r="CG830" s="19"/>
      <c r="CH830" s="19"/>
      <c r="CI830" s="18"/>
      <c r="CJ830" s="18"/>
      <c r="CN830" s="18"/>
      <c r="CO830" s="19"/>
      <c r="CP830" s="19"/>
      <c r="CQ830" s="19"/>
      <c r="CR830" s="19"/>
      <c r="CS830" s="19"/>
      <c r="CT830" s="19"/>
      <c r="CU830" s="20"/>
      <c r="CV830" s="20"/>
      <c r="DA830" s="18">
        <f t="shared" si="130"/>
        <v>0</v>
      </c>
      <c r="DB830" s="19">
        <f t="shared" si="131"/>
        <v>0</v>
      </c>
      <c r="DC830" s="19">
        <f t="shared" si="132"/>
        <v>0</v>
      </c>
      <c r="DD830" s="19">
        <f t="shared" si="133"/>
        <v>0</v>
      </c>
      <c r="DE830" s="19">
        <f t="shared" si="134"/>
        <v>0</v>
      </c>
      <c r="DF830" s="19">
        <f t="shared" si="135"/>
        <v>0</v>
      </c>
      <c r="DG830" s="19">
        <f t="shared" si="136"/>
        <v>0</v>
      </c>
      <c r="DH830" s="20">
        <f t="shared" si="137"/>
        <v>0</v>
      </c>
      <c r="DI830" s="20">
        <f t="shared" si="138"/>
        <v>0</v>
      </c>
    </row>
    <row r="831" spans="80:113" x14ac:dyDescent="0.3">
      <c r="CB831" s="18"/>
      <c r="CC831" s="19"/>
      <c r="CD831" s="19"/>
      <c r="CE831" s="19"/>
      <c r="CF831" s="19"/>
      <c r="CG831" s="19"/>
      <c r="CH831" s="19"/>
      <c r="CI831" s="18"/>
      <c r="CJ831" s="18"/>
      <c r="CN831" s="18"/>
      <c r="CO831" s="19"/>
      <c r="CP831" s="19"/>
      <c r="CQ831" s="19"/>
      <c r="CR831" s="19"/>
      <c r="CS831" s="19"/>
      <c r="CT831" s="19"/>
      <c r="CU831" s="20"/>
      <c r="CV831" s="20"/>
      <c r="DA831" s="18">
        <f t="shared" si="130"/>
        <v>0</v>
      </c>
      <c r="DB831" s="19">
        <f t="shared" si="131"/>
        <v>0</v>
      </c>
      <c r="DC831" s="19">
        <f t="shared" si="132"/>
        <v>0</v>
      </c>
      <c r="DD831" s="19">
        <f t="shared" si="133"/>
        <v>0</v>
      </c>
      <c r="DE831" s="19">
        <f t="shared" si="134"/>
        <v>0</v>
      </c>
      <c r="DF831" s="19">
        <f t="shared" si="135"/>
        <v>0</v>
      </c>
      <c r="DG831" s="19">
        <f t="shared" si="136"/>
        <v>0</v>
      </c>
      <c r="DH831" s="20">
        <f t="shared" si="137"/>
        <v>0</v>
      </c>
      <c r="DI831" s="20">
        <f t="shared" si="138"/>
        <v>0</v>
      </c>
    </row>
    <row r="832" spans="80:113" x14ac:dyDescent="0.3">
      <c r="CB832" s="18"/>
      <c r="CC832" s="19"/>
      <c r="CD832" s="19"/>
      <c r="CE832" s="19"/>
      <c r="CF832" s="19"/>
      <c r="CG832" s="19"/>
      <c r="CH832" s="19"/>
      <c r="CI832" s="18"/>
      <c r="CJ832" s="18"/>
      <c r="CN832" s="18"/>
      <c r="CO832" s="19"/>
      <c r="CP832" s="19"/>
      <c r="CQ832" s="19"/>
      <c r="CR832" s="19"/>
      <c r="CS832" s="19"/>
      <c r="CT832" s="19"/>
      <c r="CU832" s="20"/>
      <c r="CV832" s="20"/>
      <c r="DA832" s="18">
        <f t="shared" si="130"/>
        <v>0</v>
      </c>
      <c r="DB832" s="19">
        <f t="shared" si="131"/>
        <v>0</v>
      </c>
      <c r="DC832" s="19">
        <f t="shared" si="132"/>
        <v>0</v>
      </c>
      <c r="DD832" s="19">
        <f t="shared" si="133"/>
        <v>0</v>
      </c>
      <c r="DE832" s="19">
        <f t="shared" si="134"/>
        <v>0</v>
      </c>
      <c r="DF832" s="19">
        <f t="shared" si="135"/>
        <v>0</v>
      </c>
      <c r="DG832" s="19">
        <f t="shared" si="136"/>
        <v>0</v>
      </c>
      <c r="DH832" s="20">
        <f t="shared" si="137"/>
        <v>0</v>
      </c>
      <c r="DI832" s="20">
        <f t="shared" si="138"/>
        <v>0</v>
      </c>
    </row>
    <row r="833" spans="80:113" x14ac:dyDescent="0.3">
      <c r="CB833" s="18"/>
      <c r="CC833" s="19"/>
      <c r="CD833" s="19"/>
      <c r="CE833" s="19"/>
      <c r="CF833" s="19"/>
      <c r="CG833" s="19"/>
      <c r="CH833" s="19"/>
      <c r="CI833" s="18"/>
      <c r="CJ833" s="18"/>
      <c r="CN833" s="18"/>
      <c r="CO833" s="19"/>
      <c r="CP833" s="19"/>
      <c r="CQ833" s="19"/>
      <c r="CR833" s="19"/>
      <c r="CS833" s="19"/>
      <c r="CT833" s="19"/>
      <c r="CU833" s="20"/>
      <c r="CV833" s="20"/>
      <c r="DA833" s="18">
        <f t="shared" si="130"/>
        <v>0</v>
      </c>
      <c r="DB833" s="19">
        <f t="shared" si="131"/>
        <v>0</v>
      </c>
      <c r="DC833" s="19">
        <f t="shared" si="132"/>
        <v>0</v>
      </c>
      <c r="DD833" s="19">
        <f t="shared" si="133"/>
        <v>0</v>
      </c>
      <c r="DE833" s="19">
        <f t="shared" si="134"/>
        <v>0</v>
      </c>
      <c r="DF833" s="19">
        <f t="shared" si="135"/>
        <v>0</v>
      </c>
      <c r="DG833" s="19">
        <f t="shared" si="136"/>
        <v>0</v>
      </c>
      <c r="DH833" s="20">
        <f t="shared" si="137"/>
        <v>0</v>
      </c>
      <c r="DI833" s="20">
        <f t="shared" si="138"/>
        <v>0</v>
      </c>
    </row>
    <row r="834" spans="80:113" x14ac:dyDescent="0.3">
      <c r="CB834" s="18"/>
      <c r="CC834" s="19"/>
      <c r="CD834" s="19"/>
      <c r="CE834" s="19"/>
      <c r="CF834" s="19"/>
      <c r="CG834" s="19"/>
      <c r="CH834" s="19"/>
      <c r="CI834" s="18"/>
      <c r="CJ834" s="18"/>
      <c r="CN834" s="18"/>
      <c r="CO834" s="19"/>
      <c r="CP834" s="19"/>
      <c r="CQ834" s="19"/>
      <c r="CR834" s="19"/>
      <c r="CS834" s="19"/>
      <c r="CT834" s="19"/>
      <c r="CU834" s="20"/>
      <c r="CV834" s="20"/>
      <c r="DA834" s="18">
        <f t="shared" si="130"/>
        <v>0</v>
      </c>
      <c r="DB834" s="19">
        <f t="shared" si="131"/>
        <v>0</v>
      </c>
      <c r="DC834" s="19">
        <f t="shared" si="132"/>
        <v>0</v>
      </c>
      <c r="DD834" s="19">
        <f t="shared" si="133"/>
        <v>0</v>
      </c>
      <c r="DE834" s="19">
        <f t="shared" si="134"/>
        <v>0</v>
      </c>
      <c r="DF834" s="19">
        <f t="shared" si="135"/>
        <v>0</v>
      </c>
      <c r="DG834" s="19">
        <f t="shared" si="136"/>
        <v>0</v>
      </c>
      <c r="DH834" s="20">
        <f t="shared" si="137"/>
        <v>0</v>
      </c>
      <c r="DI834" s="20">
        <f t="shared" si="138"/>
        <v>0</v>
      </c>
    </row>
    <row r="835" spans="80:113" x14ac:dyDescent="0.3">
      <c r="CB835" s="18"/>
      <c r="CC835" s="19"/>
      <c r="CD835" s="19"/>
      <c r="CE835" s="19"/>
      <c r="CF835" s="19"/>
      <c r="CG835" s="19"/>
      <c r="CH835" s="19"/>
      <c r="CI835" s="18"/>
      <c r="CJ835" s="18"/>
      <c r="CN835" s="18"/>
      <c r="CO835" s="19"/>
      <c r="CP835" s="19"/>
      <c r="CQ835" s="19"/>
      <c r="CR835" s="19"/>
      <c r="CS835" s="19"/>
      <c r="CT835" s="19"/>
      <c r="CU835" s="20"/>
      <c r="CV835" s="20"/>
      <c r="DA835" s="18">
        <f t="shared" ref="DA835:DA898" si="139">IF($BZ$2=1,CN835,CB835)</f>
        <v>0</v>
      </c>
      <c r="DB835" s="19">
        <f t="shared" ref="DB835:DB898" si="140">IF($BZ$2=1,CO835,CC835)</f>
        <v>0</v>
      </c>
      <c r="DC835" s="19">
        <f t="shared" ref="DC835:DC898" si="141">IF($BZ$2=1,CP835,CD835)</f>
        <v>0</v>
      </c>
      <c r="DD835" s="19">
        <f t="shared" ref="DD835:DD898" si="142">IF($BZ$2=1,CQ835,CE835)</f>
        <v>0</v>
      </c>
      <c r="DE835" s="19">
        <f t="shared" ref="DE835:DE898" si="143">IF($BZ$2=1,CR835,CF835)</f>
        <v>0</v>
      </c>
      <c r="DF835" s="19">
        <f t="shared" ref="DF835:DF898" si="144">IF($BZ$2=1,CS835,CG835)</f>
        <v>0</v>
      </c>
      <c r="DG835" s="19">
        <f t="shared" ref="DG835:DG898" si="145">IF($BZ$2=1,CT835,CH835)</f>
        <v>0</v>
      </c>
      <c r="DH835" s="20">
        <f t="shared" ref="DH835:DH898" si="146">IF($BZ$2=1,CU835,CI835)</f>
        <v>0</v>
      </c>
      <c r="DI835" s="20">
        <f t="shared" ref="DI835:DI898" si="147">IF($BZ$2=1,CV835,CJ835)</f>
        <v>0</v>
      </c>
    </row>
    <row r="836" spans="80:113" x14ac:dyDescent="0.3">
      <c r="CB836" s="18"/>
      <c r="CC836" s="19"/>
      <c r="CD836" s="19"/>
      <c r="CE836" s="19"/>
      <c r="CF836" s="19"/>
      <c r="CG836" s="19"/>
      <c r="CH836" s="19"/>
      <c r="CI836" s="18"/>
      <c r="CJ836" s="18"/>
      <c r="CN836" s="18"/>
      <c r="CO836" s="19"/>
      <c r="CP836" s="19"/>
      <c r="CQ836" s="19"/>
      <c r="CR836" s="19"/>
      <c r="CS836" s="19"/>
      <c r="CT836" s="19"/>
      <c r="CU836" s="20"/>
      <c r="CV836" s="20"/>
      <c r="DA836" s="18">
        <f t="shared" si="139"/>
        <v>0</v>
      </c>
      <c r="DB836" s="19">
        <f t="shared" si="140"/>
        <v>0</v>
      </c>
      <c r="DC836" s="19">
        <f t="shared" si="141"/>
        <v>0</v>
      </c>
      <c r="DD836" s="19">
        <f t="shared" si="142"/>
        <v>0</v>
      </c>
      <c r="DE836" s="19">
        <f t="shared" si="143"/>
        <v>0</v>
      </c>
      <c r="DF836" s="19">
        <f t="shared" si="144"/>
        <v>0</v>
      </c>
      <c r="DG836" s="19">
        <f t="shared" si="145"/>
        <v>0</v>
      </c>
      <c r="DH836" s="20">
        <f t="shared" si="146"/>
        <v>0</v>
      </c>
      <c r="DI836" s="20">
        <f t="shared" si="147"/>
        <v>0</v>
      </c>
    </row>
    <row r="837" spans="80:113" x14ac:dyDescent="0.3">
      <c r="CB837" s="18"/>
      <c r="CC837" s="19"/>
      <c r="CD837" s="19"/>
      <c r="CE837" s="19"/>
      <c r="CF837" s="19"/>
      <c r="CG837" s="19"/>
      <c r="CH837" s="19"/>
      <c r="CI837" s="18"/>
      <c r="CJ837" s="18"/>
      <c r="CN837" s="18"/>
      <c r="CO837" s="19"/>
      <c r="CP837" s="19"/>
      <c r="CQ837" s="19"/>
      <c r="CR837" s="19"/>
      <c r="CS837" s="19"/>
      <c r="CT837" s="19"/>
      <c r="CU837" s="20"/>
      <c r="CV837" s="20"/>
      <c r="DA837" s="18">
        <f t="shared" si="139"/>
        <v>0</v>
      </c>
      <c r="DB837" s="19">
        <f t="shared" si="140"/>
        <v>0</v>
      </c>
      <c r="DC837" s="19">
        <f t="shared" si="141"/>
        <v>0</v>
      </c>
      <c r="DD837" s="19">
        <f t="shared" si="142"/>
        <v>0</v>
      </c>
      <c r="DE837" s="19">
        <f t="shared" si="143"/>
        <v>0</v>
      </c>
      <c r="DF837" s="19">
        <f t="shared" si="144"/>
        <v>0</v>
      </c>
      <c r="DG837" s="19">
        <f t="shared" si="145"/>
        <v>0</v>
      </c>
      <c r="DH837" s="20">
        <f t="shared" si="146"/>
        <v>0</v>
      </c>
      <c r="DI837" s="20">
        <f t="shared" si="147"/>
        <v>0</v>
      </c>
    </row>
    <row r="838" spans="80:113" x14ac:dyDescent="0.3">
      <c r="CB838" s="18"/>
      <c r="CC838" s="19"/>
      <c r="CD838" s="19"/>
      <c r="CE838" s="19"/>
      <c r="CF838" s="19"/>
      <c r="CG838" s="19"/>
      <c r="CH838" s="19"/>
      <c r="CI838" s="18"/>
      <c r="CJ838" s="18"/>
      <c r="CN838" s="18"/>
      <c r="CO838" s="19"/>
      <c r="CP838" s="19"/>
      <c r="CQ838" s="19"/>
      <c r="CR838" s="19"/>
      <c r="CS838" s="19"/>
      <c r="CT838" s="19"/>
      <c r="CU838" s="20"/>
      <c r="CV838" s="20"/>
      <c r="DA838" s="18">
        <f t="shared" si="139"/>
        <v>0</v>
      </c>
      <c r="DB838" s="19">
        <f t="shared" si="140"/>
        <v>0</v>
      </c>
      <c r="DC838" s="19">
        <f t="shared" si="141"/>
        <v>0</v>
      </c>
      <c r="DD838" s="19">
        <f t="shared" si="142"/>
        <v>0</v>
      </c>
      <c r="DE838" s="19">
        <f t="shared" si="143"/>
        <v>0</v>
      </c>
      <c r="DF838" s="19">
        <f t="shared" si="144"/>
        <v>0</v>
      </c>
      <c r="DG838" s="19">
        <f t="shared" si="145"/>
        <v>0</v>
      </c>
      <c r="DH838" s="20">
        <f t="shared" si="146"/>
        <v>0</v>
      </c>
      <c r="DI838" s="20">
        <f t="shared" si="147"/>
        <v>0</v>
      </c>
    </row>
    <row r="839" spans="80:113" x14ac:dyDescent="0.3">
      <c r="CB839" s="18"/>
      <c r="CC839" s="19"/>
      <c r="CD839" s="19"/>
      <c r="CE839" s="19"/>
      <c r="CF839" s="19"/>
      <c r="CG839" s="19"/>
      <c r="CH839" s="19"/>
      <c r="CI839" s="18"/>
      <c r="CJ839" s="18"/>
      <c r="CN839" s="18"/>
      <c r="CO839" s="19"/>
      <c r="CP839" s="19"/>
      <c r="CQ839" s="19"/>
      <c r="CR839" s="19"/>
      <c r="CS839" s="19"/>
      <c r="CT839" s="19"/>
      <c r="CU839" s="20"/>
      <c r="CV839" s="20"/>
      <c r="DA839" s="18">
        <f t="shared" si="139"/>
        <v>0</v>
      </c>
      <c r="DB839" s="19">
        <f t="shared" si="140"/>
        <v>0</v>
      </c>
      <c r="DC839" s="19">
        <f t="shared" si="141"/>
        <v>0</v>
      </c>
      <c r="DD839" s="19">
        <f t="shared" si="142"/>
        <v>0</v>
      </c>
      <c r="DE839" s="19">
        <f t="shared" si="143"/>
        <v>0</v>
      </c>
      <c r="DF839" s="19">
        <f t="shared" si="144"/>
        <v>0</v>
      </c>
      <c r="DG839" s="19">
        <f t="shared" si="145"/>
        <v>0</v>
      </c>
      <c r="DH839" s="20">
        <f t="shared" si="146"/>
        <v>0</v>
      </c>
      <c r="DI839" s="20">
        <f t="shared" si="147"/>
        <v>0</v>
      </c>
    </row>
    <row r="840" spans="80:113" x14ac:dyDescent="0.3">
      <c r="CB840" s="18"/>
      <c r="CC840" s="19"/>
      <c r="CD840" s="19"/>
      <c r="CE840" s="19"/>
      <c r="CF840" s="19"/>
      <c r="CG840" s="19"/>
      <c r="CH840" s="19"/>
      <c r="CI840" s="18"/>
      <c r="CJ840" s="18"/>
      <c r="CN840" s="18"/>
      <c r="CO840" s="19"/>
      <c r="CP840" s="19"/>
      <c r="CQ840" s="19"/>
      <c r="CR840" s="19"/>
      <c r="CS840" s="19"/>
      <c r="CT840" s="19"/>
      <c r="CU840" s="20"/>
      <c r="CV840" s="20"/>
      <c r="DA840" s="18">
        <f t="shared" si="139"/>
        <v>0</v>
      </c>
      <c r="DB840" s="19">
        <f t="shared" si="140"/>
        <v>0</v>
      </c>
      <c r="DC840" s="19">
        <f t="shared" si="141"/>
        <v>0</v>
      </c>
      <c r="DD840" s="19">
        <f t="shared" si="142"/>
        <v>0</v>
      </c>
      <c r="DE840" s="19">
        <f t="shared" si="143"/>
        <v>0</v>
      </c>
      <c r="DF840" s="19">
        <f t="shared" si="144"/>
        <v>0</v>
      </c>
      <c r="DG840" s="19">
        <f t="shared" si="145"/>
        <v>0</v>
      </c>
      <c r="DH840" s="20">
        <f t="shared" si="146"/>
        <v>0</v>
      </c>
      <c r="DI840" s="20">
        <f t="shared" si="147"/>
        <v>0</v>
      </c>
    </row>
    <row r="841" spans="80:113" x14ac:dyDescent="0.3">
      <c r="CB841" s="18"/>
      <c r="CC841" s="19"/>
      <c r="CD841" s="19"/>
      <c r="CE841" s="19"/>
      <c r="CF841" s="19"/>
      <c r="CG841" s="19"/>
      <c r="CH841" s="19"/>
      <c r="CI841" s="18"/>
      <c r="CJ841" s="18"/>
      <c r="CN841" s="18"/>
      <c r="CO841" s="19"/>
      <c r="CP841" s="19"/>
      <c r="CQ841" s="19"/>
      <c r="CR841" s="19"/>
      <c r="CS841" s="19"/>
      <c r="CT841" s="19"/>
      <c r="CU841" s="20"/>
      <c r="CV841" s="20"/>
      <c r="DA841" s="18">
        <f t="shared" si="139"/>
        <v>0</v>
      </c>
      <c r="DB841" s="19">
        <f t="shared" si="140"/>
        <v>0</v>
      </c>
      <c r="DC841" s="19">
        <f t="shared" si="141"/>
        <v>0</v>
      </c>
      <c r="DD841" s="19">
        <f t="shared" si="142"/>
        <v>0</v>
      </c>
      <c r="DE841" s="19">
        <f t="shared" si="143"/>
        <v>0</v>
      </c>
      <c r="DF841" s="19">
        <f t="shared" si="144"/>
        <v>0</v>
      </c>
      <c r="DG841" s="19">
        <f t="shared" si="145"/>
        <v>0</v>
      </c>
      <c r="DH841" s="20">
        <f t="shared" si="146"/>
        <v>0</v>
      </c>
      <c r="DI841" s="20">
        <f t="shared" si="147"/>
        <v>0</v>
      </c>
    </row>
    <row r="842" spans="80:113" x14ac:dyDescent="0.3">
      <c r="CB842" s="18"/>
      <c r="CC842" s="19"/>
      <c r="CD842" s="19"/>
      <c r="CE842" s="19"/>
      <c r="CF842" s="19"/>
      <c r="CG842" s="19"/>
      <c r="CH842" s="19"/>
      <c r="CI842" s="18"/>
      <c r="CJ842" s="18"/>
      <c r="CN842" s="18"/>
      <c r="CO842" s="19"/>
      <c r="CP842" s="19"/>
      <c r="CQ842" s="19"/>
      <c r="CR842" s="19"/>
      <c r="CS842" s="19"/>
      <c r="CT842" s="19"/>
      <c r="CU842" s="20"/>
      <c r="CV842" s="20"/>
      <c r="DA842" s="18">
        <f t="shared" si="139"/>
        <v>0</v>
      </c>
      <c r="DB842" s="19">
        <f t="shared" si="140"/>
        <v>0</v>
      </c>
      <c r="DC842" s="19">
        <f t="shared" si="141"/>
        <v>0</v>
      </c>
      <c r="DD842" s="19">
        <f t="shared" si="142"/>
        <v>0</v>
      </c>
      <c r="DE842" s="19">
        <f t="shared" si="143"/>
        <v>0</v>
      </c>
      <c r="DF842" s="19">
        <f t="shared" si="144"/>
        <v>0</v>
      </c>
      <c r="DG842" s="19">
        <f t="shared" si="145"/>
        <v>0</v>
      </c>
      <c r="DH842" s="20">
        <f t="shared" si="146"/>
        <v>0</v>
      </c>
      <c r="DI842" s="20">
        <f t="shared" si="147"/>
        <v>0</v>
      </c>
    </row>
    <row r="843" spans="80:113" x14ac:dyDescent="0.3">
      <c r="CB843" s="18"/>
      <c r="CC843" s="19"/>
      <c r="CD843" s="19"/>
      <c r="CE843" s="19"/>
      <c r="CF843" s="19"/>
      <c r="CG843" s="19"/>
      <c r="CH843" s="19"/>
      <c r="CI843" s="18"/>
      <c r="CJ843" s="18"/>
      <c r="CN843" s="18"/>
      <c r="CO843" s="19"/>
      <c r="CP843" s="19"/>
      <c r="CQ843" s="19"/>
      <c r="CR843" s="19"/>
      <c r="CS843" s="19"/>
      <c r="CT843" s="19"/>
      <c r="CU843" s="20"/>
      <c r="CV843" s="20"/>
      <c r="DA843" s="18">
        <f t="shared" si="139"/>
        <v>0</v>
      </c>
      <c r="DB843" s="19">
        <f t="shared" si="140"/>
        <v>0</v>
      </c>
      <c r="DC843" s="19">
        <f t="shared" si="141"/>
        <v>0</v>
      </c>
      <c r="DD843" s="19">
        <f t="shared" si="142"/>
        <v>0</v>
      </c>
      <c r="DE843" s="19">
        <f t="shared" si="143"/>
        <v>0</v>
      </c>
      <c r="DF843" s="19">
        <f t="shared" si="144"/>
        <v>0</v>
      </c>
      <c r="DG843" s="19">
        <f t="shared" si="145"/>
        <v>0</v>
      </c>
      <c r="DH843" s="20">
        <f t="shared" si="146"/>
        <v>0</v>
      </c>
      <c r="DI843" s="20">
        <f t="shared" si="147"/>
        <v>0</v>
      </c>
    </row>
    <row r="844" spans="80:113" x14ac:dyDescent="0.3">
      <c r="CB844" s="18"/>
      <c r="CC844" s="19"/>
      <c r="CD844" s="19"/>
      <c r="CE844" s="19"/>
      <c r="CF844" s="19"/>
      <c r="CG844" s="19"/>
      <c r="CH844" s="19"/>
      <c r="CI844" s="18"/>
      <c r="CJ844" s="18"/>
      <c r="CN844" s="18"/>
      <c r="CO844" s="19"/>
      <c r="CP844" s="19"/>
      <c r="CQ844" s="19"/>
      <c r="CR844" s="19"/>
      <c r="CS844" s="19"/>
      <c r="CT844" s="19"/>
      <c r="CU844" s="20"/>
      <c r="CV844" s="20"/>
      <c r="DA844" s="18">
        <f t="shared" si="139"/>
        <v>0</v>
      </c>
      <c r="DB844" s="19">
        <f t="shared" si="140"/>
        <v>0</v>
      </c>
      <c r="DC844" s="19">
        <f t="shared" si="141"/>
        <v>0</v>
      </c>
      <c r="DD844" s="19">
        <f t="shared" si="142"/>
        <v>0</v>
      </c>
      <c r="DE844" s="19">
        <f t="shared" si="143"/>
        <v>0</v>
      </c>
      <c r="DF844" s="19">
        <f t="shared" si="144"/>
        <v>0</v>
      </c>
      <c r="DG844" s="19">
        <f t="shared" si="145"/>
        <v>0</v>
      </c>
      <c r="DH844" s="20">
        <f t="shared" si="146"/>
        <v>0</v>
      </c>
      <c r="DI844" s="20">
        <f t="shared" si="147"/>
        <v>0</v>
      </c>
    </row>
    <row r="845" spans="80:113" x14ac:dyDescent="0.3">
      <c r="CB845" s="18"/>
      <c r="CC845" s="19"/>
      <c r="CD845" s="19"/>
      <c r="CE845" s="19"/>
      <c r="CF845" s="19"/>
      <c r="CG845" s="19"/>
      <c r="CH845" s="19"/>
      <c r="CI845" s="18"/>
      <c r="CJ845" s="18"/>
      <c r="CN845" s="18"/>
      <c r="CO845" s="19"/>
      <c r="CP845" s="19"/>
      <c r="CQ845" s="19"/>
      <c r="CR845" s="19"/>
      <c r="CS845" s="19"/>
      <c r="CT845" s="19"/>
      <c r="CU845" s="20"/>
      <c r="CV845" s="20"/>
      <c r="DA845" s="18">
        <f t="shared" si="139"/>
        <v>0</v>
      </c>
      <c r="DB845" s="19">
        <f t="shared" si="140"/>
        <v>0</v>
      </c>
      <c r="DC845" s="19">
        <f t="shared" si="141"/>
        <v>0</v>
      </c>
      <c r="DD845" s="19">
        <f t="shared" si="142"/>
        <v>0</v>
      </c>
      <c r="DE845" s="19">
        <f t="shared" si="143"/>
        <v>0</v>
      </c>
      <c r="DF845" s="19">
        <f t="shared" si="144"/>
        <v>0</v>
      </c>
      <c r="DG845" s="19">
        <f t="shared" si="145"/>
        <v>0</v>
      </c>
      <c r="DH845" s="20">
        <f t="shared" si="146"/>
        <v>0</v>
      </c>
      <c r="DI845" s="20">
        <f t="shared" si="147"/>
        <v>0</v>
      </c>
    </row>
    <row r="846" spans="80:113" x14ac:dyDescent="0.3">
      <c r="CB846" s="18"/>
      <c r="CC846" s="19"/>
      <c r="CD846" s="19"/>
      <c r="CE846" s="19"/>
      <c r="CF846" s="19"/>
      <c r="CG846" s="19"/>
      <c r="CH846" s="19"/>
      <c r="CI846" s="18"/>
      <c r="CJ846" s="18"/>
      <c r="CN846" s="18"/>
      <c r="CO846" s="19"/>
      <c r="CP846" s="19"/>
      <c r="CQ846" s="19"/>
      <c r="CR846" s="19"/>
      <c r="CS846" s="19"/>
      <c r="CT846" s="19"/>
      <c r="CU846" s="20"/>
      <c r="CV846" s="20"/>
      <c r="DA846" s="18">
        <f t="shared" si="139"/>
        <v>0</v>
      </c>
      <c r="DB846" s="19">
        <f t="shared" si="140"/>
        <v>0</v>
      </c>
      <c r="DC846" s="19">
        <f t="shared" si="141"/>
        <v>0</v>
      </c>
      <c r="DD846" s="19">
        <f t="shared" si="142"/>
        <v>0</v>
      </c>
      <c r="DE846" s="19">
        <f t="shared" si="143"/>
        <v>0</v>
      </c>
      <c r="DF846" s="19">
        <f t="shared" si="144"/>
        <v>0</v>
      </c>
      <c r="DG846" s="19">
        <f t="shared" si="145"/>
        <v>0</v>
      </c>
      <c r="DH846" s="20">
        <f t="shared" si="146"/>
        <v>0</v>
      </c>
      <c r="DI846" s="20">
        <f t="shared" si="147"/>
        <v>0</v>
      </c>
    </row>
    <row r="847" spans="80:113" x14ac:dyDescent="0.3">
      <c r="CB847" s="18"/>
      <c r="CC847" s="19"/>
      <c r="CD847" s="19"/>
      <c r="CE847" s="19"/>
      <c r="CF847" s="19"/>
      <c r="CG847" s="19"/>
      <c r="CH847" s="19"/>
      <c r="CI847" s="18"/>
      <c r="CJ847" s="18"/>
      <c r="CN847" s="18"/>
      <c r="CO847" s="19"/>
      <c r="CP847" s="19"/>
      <c r="CQ847" s="19"/>
      <c r="CR847" s="19"/>
      <c r="CS847" s="19"/>
      <c r="CT847" s="19"/>
      <c r="CU847" s="20"/>
      <c r="CV847" s="20"/>
      <c r="DA847" s="18">
        <f t="shared" si="139"/>
        <v>0</v>
      </c>
      <c r="DB847" s="19">
        <f t="shared" si="140"/>
        <v>0</v>
      </c>
      <c r="DC847" s="19">
        <f t="shared" si="141"/>
        <v>0</v>
      </c>
      <c r="DD847" s="19">
        <f t="shared" si="142"/>
        <v>0</v>
      </c>
      <c r="DE847" s="19">
        <f t="shared" si="143"/>
        <v>0</v>
      </c>
      <c r="DF847" s="19">
        <f t="shared" si="144"/>
        <v>0</v>
      </c>
      <c r="DG847" s="19">
        <f t="shared" si="145"/>
        <v>0</v>
      </c>
      <c r="DH847" s="20">
        <f t="shared" si="146"/>
        <v>0</v>
      </c>
      <c r="DI847" s="20">
        <f t="shared" si="147"/>
        <v>0</v>
      </c>
    </row>
    <row r="848" spans="80:113" x14ac:dyDescent="0.3">
      <c r="CB848" s="18"/>
      <c r="CC848" s="19"/>
      <c r="CD848" s="19"/>
      <c r="CE848" s="19"/>
      <c r="CF848" s="19"/>
      <c r="CG848" s="19"/>
      <c r="CH848" s="19"/>
      <c r="CI848" s="18"/>
      <c r="CJ848" s="18"/>
      <c r="CN848" s="18"/>
      <c r="CO848" s="19"/>
      <c r="CP848" s="19"/>
      <c r="CQ848" s="19"/>
      <c r="CR848" s="19"/>
      <c r="CS848" s="19"/>
      <c r="CT848" s="19"/>
      <c r="CU848" s="20"/>
      <c r="CV848" s="20"/>
      <c r="DA848" s="18">
        <f t="shared" si="139"/>
        <v>0</v>
      </c>
      <c r="DB848" s="19">
        <f t="shared" si="140"/>
        <v>0</v>
      </c>
      <c r="DC848" s="19">
        <f t="shared" si="141"/>
        <v>0</v>
      </c>
      <c r="DD848" s="19">
        <f t="shared" si="142"/>
        <v>0</v>
      </c>
      <c r="DE848" s="19">
        <f t="shared" si="143"/>
        <v>0</v>
      </c>
      <c r="DF848" s="19">
        <f t="shared" si="144"/>
        <v>0</v>
      </c>
      <c r="DG848" s="19">
        <f t="shared" si="145"/>
        <v>0</v>
      </c>
      <c r="DH848" s="20">
        <f t="shared" si="146"/>
        <v>0</v>
      </c>
      <c r="DI848" s="20">
        <f t="shared" si="147"/>
        <v>0</v>
      </c>
    </row>
    <row r="849" spans="80:113" x14ac:dyDescent="0.3">
      <c r="CB849" s="18"/>
      <c r="CC849" s="19"/>
      <c r="CD849" s="19"/>
      <c r="CE849" s="19"/>
      <c r="CF849" s="19"/>
      <c r="CG849" s="19"/>
      <c r="CH849" s="19"/>
      <c r="CI849" s="18"/>
      <c r="CJ849" s="18"/>
      <c r="CN849" s="18"/>
      <c r="CO849" s="19"/>
      <c r="CP849" s="19"/>
      <c r="CQ849" s="19"/>
      <c r="CR849" s="19"/>
      <c r="CS849" s="19"/>
      <c r="CT849" s="19"/>
      <c r="CU849" s="20"/>
      <c r="CV849" s="20"/>
      <c r="DA849" s="18">
        <f t="shared" si="139"/>
        <v>0</v>
      </c>
      <c r="DB849" s="19">
        <f t="shared" si="140"/>
        <v>0</v>
      </c>
      <c r="DC849" s="19">
        <f t="shared" si="141"/>
        <v>0</v>
      </c>
      <c r="DD849" s="19">
        <f t="shared" si="142"/>
        <v>0</v>
      </c>
      <c r="DE849" s="19">
        <f t="shared" si="143"/>
        <v>0</v>
      </c>
      <c r="DF849" s="19">
        <f t="shared" si="144"/>
        <v>0</v>
      </c>
      <c r="DG849" s="19">
        <f t="shared" si="145"/>
        <v>0</v>
      </c>
      <c r="DH849" s="20">
        <f t="shared" si="146"/>
        <v>0</v>
      </c>
      <c r="DI849" s="20">
        <f t="shared" si="147"/>
        <v>0</v>
      </c>
    </row>
    <row r="850" spans="80:113" x14ac:dyDescent="0.3">
      <c r="CB850" s="18"/>
      <c r="CC850" s="19"/>
      <c r="CD850" s="19"/>
      <c r="CE850" s="19"/>
      <c r="CF850" s="19"/>
      <c r="CG850" s="19"/>
      <c r="CH850" s="19"/>
      <c r="CI850" s="18"/>
      <c r="CJ850" s="18"/>
      <c r="CN850" s="18"/>
      <c r="CO850" s="19"/>
      <c r="CP850" s="19"/>
      <c r="CQ850" s="19"/>
      <c r="CR850" s="19"/>
      <c r="CS850" s="19"/>
      <c r="CT850" s="19"/>
      <c r="CU850" s="20"/>
      <c r="CV850" s="20"/>
      <c r="DA850" s="18">
        <f t="shared" si="139"/>
        <v>0</v>
      </c>
      <c r="DB850" s="19">
        <f t="shared" si="140"/>
        <v>0</v>
      </c>
      <c r="DC850" s="19">
        <f t="shared" si="141"/>
        <v>0</v>
      </c>
      <c r="DD850" s="19">
        <f t="shared" si="142"/>
        <v>0</v>
      </c>
      <c r="DE850" s="19">
        <f t="shared" si="143"/>
        <v>0</v>
      </c>
      <c r="DF850" s="19">
        <f t="shared" si="144"/>
        <v>0</v>
      </c>
      <c r="DG850" s="19">
        <f t="shared" si="145"/>
        <v>0</v>
      </c>
      <c r="DH850" s="20">
        <f t="shared" si="146"/>
        <v>0</v>
      </c>
      <c r="DI850" s="20">
        <f t="shared" si="147"/>
        <v>0</v>
      </c>
    </row>
    <row r="851" spans="80:113" x14ac:dyDescent="0.3">
      <c r="CB851" s="18"/>
      <c r="CC851" s="19"/>
      <c r="CD851" s="19"/>
      <c r="CE851" s="19"/>
      <c r="CF851" s="19"/>
      <c r="CG851" s="19"/>
      <c r="CH851" s="19"/>
      <c r="CI851" s="18"/>
      <c r="CJ851" s="18"/>
      <c r="CN851" s="18"/>
      <c r="CO851" s="19"/>
      <c r="CP851" s="19"/>
      <c r="CQ851" s="19"/>
      <c r="CR851" s="19"/>
      <c r="CS851" s="19"/>
      <c r="CT851" s="19"/>
      <c r="CU851" s="20"/>
      <c r="CV851" s="20"/>
      <c r="DA851" s="18">
        <f t="shared" si="139"/>
        <v>0</v>
      </c>
      <c r="DB851" s="19">
        <f t="shared" si="140"/>
        <v>0</v>
      </c>
      <c r="DC851" s="19">
        <f t="shared" si="141"/>
        <v>0</v>
      </c>
      <c r="DD851" s="19">
        <f t="shared" si="142"/>
        <v>0</v>
      </c>
      <c r="DE851" s="19">
        <f t="shared" si="143"/>
        <v>0</v>
      </c>
      <c r="DF851" s="19">
        <f t="shared" si="144"/>
        <v>0</v>
      </c>
      <c r="DG851" s="19">
        <f t="shared" si="145"/>
        <v>0</v>
      </c>
      <c r="DH851" s="20">
        <f t="shared" si="146"/>
        <v>0</v>
      </c>
      <c r="DI851" s="20">
        <f t="shared" si="147"/>
        <v>0</v>
      </c>
    </row>
    <row r="852" spans="80:113" x14ac:dyDescent="0.3">
      <c r="CB852" s="18"/>
      <c r="CC852" s="19"/>
      <c r="CD852" s="19"/>
      <c r="CE852" s="19"/>
      <c r="CF852" s="19"/>
      <c r="CG852" s="19"/>
      <c r="CH852" s="19"/>
      <c r="CI852" s="18"/>
      <c r="CJ852" s="18"/>
      <c r="CN852" s="18"/>
      <c r="CO852" s="19"/>
      <c r="CP852" s="19"/>
      <c r="CQ852" s="19"/>
      <c r="CR852" s="19"/>
      <c r="CS852" s="19"/>
      <c r="CT852" s="19"/>
      <c r="CU852" s="20"/>
      <c r="CV852" s="20"/>
      <c r="DA852" s="18">
        <f t="shared" si="139"/>
        <v>0</v>
      </c>
      <c r="DB852" s="19">
        <f t="shared" si="140"/>
        <v>0</v>
      </c>
      <c r="DC852" s="19">
        <f t="shared" si="141"/>
        <v>0</v>
      </c>
      <c r="DD852" s="19">
        <f t="shared" si="142"/>
        <v>0</v>
      </c>
      <c r="DE852" s="19">
        <f t="shared" si="143"/>
        <v>0</v>
      </c>
      <c r="DF852" s="19">
        <f t="shared" si="144"/>
        <v>0</v>
      </c>
      <c r="DG852" s="19">
        <f t="shared" si="145"/>
        <v>0</v>
      </c>
      <c r="DH852" s="20">
        <f t="shared" si="146"/>
        <v>0</v>
      </c>
      <c r="DI852" s="20">
        <f t="shared" si="147"/>
        <v>0</v>
      </c>
    </row>
    <row r="853" spans="80:113" x14ac:dyDescent="0.3">
      <c r="CB853" s="18"/>
      <c r="CC853" s="19"/>
      <c r="CD853" s="19"/>
      <c r="CE853" s="19"/>
      <c r="CF853" s="19"/>
      <c r="CG853" s="19"/>
      <c r="CH853" s="19"/>
      <c r="CI853" s="18"/>
      <c r="CJ853" s="18"/>
      <c r="CN853" s="18"/>
      <c r="CO853" s="19"/>
      <c r="CP853" s="19"/>
      <c r="CQ853" s="19"/>
      <c r="CR853" s="19"/>
      <c r="CS853" s="19"/>
      <c r="CT853" s="19"/>
      <c r="CU853" s="20"/>
      <c r="CV853" s="20"/>
      <c r="DA853" s="18">
        <f t="shared" si="139"/>
        <v>0</v>
      </c>
      <c r="DB853" s="19">
        <f t="shared" si="140"/>
        <v>0</v>
      </c>
      <c r="DC853" s="19">
        <f t="shared" si="141"/>
        <v>0</v>
      </c>
      <c r="DD853" s="19">
        <f t="shared" si="142"/>
        <v>0</v>
      </c>
      <c r="DE853" s="19">
        <f t="shared" si="143"/>
        <v>0</v>
      </c>
      <c r="DF853" s="19">
        <f t="shared" si="144"/>
        <v>0</v>
      </c>
      <c r="DG853" s="19">
        <f t="shared" si="145"/>
        <v>0</v>
      </c>
      <c r="DH853" s="20">
        <f t="shared" si="146"/>
        <v>0</v>
      </c>
      <c r="DI853" s="20">
        <f t="shared" si="147"/>
        <v>0</v>
      </c>
    </row>
    <row r="854" spans="80:113" x14ac:dyDescent="0.3">
      <c r="CB854" s="18"/>
      <c r="CC854" s="19"/>
      <c r="CD854" s="19"/>
      <c r="CE854" s="19"/>
      <c r="CF854" s="19"/>
      <c r="CG854" s="19"/>
      <c r="CH854" s="19"/>
      <c r="CI854" s="18"/>
      <c r="CJ854" s="18"/>
      <c r="CN854" s="18"/>
      <c r="CO854" s="19"/>
      <c r="CP854" s="19"/>
      <c r="CQ854" s="19"/>
      <c r="CR854" s="19"/>
      <c r="CS854" s="19"/>
      <c r="CT854" s="19"/>
      <c r="CU854" s="20"/>
      <c r="CV854" s="20"/>
      <c r="DA854" s="18">
        <f t="shared" si="139"/>
        <v>0</v>
      </c>
      <c r="DB854" s="19">
        <f t="shared" si="140"/>
        <v>0</v>
      </c>
      <c r="DC854" s="19">
        <f t="shared" si="141"/>
        <v>0</v>
      </c>
      <c r="DD854" s="19">
        <f t="shared" si="142"/>
        <v>0</v>
      </c>
      <c r="DE854" s="19">
        <f t="shared" si="143"/>
        <v>0</v>
      </c>
      <c r="DF854" s="19">
        <f t="shared" si="144"/>
        <v>0</v>
      </c>
      <c r="DG854" s="19">
        <f t="shared" si="145"/>
        <v>0</v>
      </c>
      <c r="DH854" s="20">
        <f t="shared" si="146"/>
        <v>0</v>
      </c>
      <c r="DI854" s="20">
        <f t="shared" si="147"/>
        <v>0</v>
      </c>
    </row>
    <row r="855" spans="80:113" x14ac:dyDescent="0.3">
      <c r="CB855" s="18"/>
      <c r="CC855" s="19"/>
      <c r="CD855" s="19"/>
      <c r="CE855" s="19"/>
      <c r="CF855" s="19"/>
      <c r="CG855" s="19"/>
      <c r="CH855" s="19"/>
      <c r="CI855" s="18"/>
      <c r="CJ855" s="18"/>
      <c r="CN855" s="18"/>
      <c r="CO855" s="19"/>
      <c r="CP855" s="19"/>
      <c r="CQ855" s="19"/>
      <c r="CR855" s="19"/>
      <c r="CS855" s="19"/>
      <c r="CT855" s="19"/>
      <c r="CU855" s="20"/>
      <c r="CV855" s="20"/>
      <c r="DA855" s="18">
        <f t="shared" si="139"/>
        <v>0</v>
      </c>
      <c r="DB855" s="19">
        <f t="shared" si="140"/>
        <v>0</v>
      </c>
      <c r="DC855" s="19">
        <f t="shared" si="141"/>
        <v>0</v>
      </c>
      <c r="DD855" s="19">
        <f t="shared" si="142"/>
        <v>0</v>
      </c>
      <c r="DE855" s="19">
        <f t="shared" si="143"/>
        <v>0</v>
      </c>
      <c r="DF855" s="19">
        <f t="shared" si="144"/>
        <v>0</v>
      </c>
      <c r="DG855" s="19">
        <f t="shared" si="145"/>
        <v>0</v>
      </c>
      <c r="DH855" s="20">
        <f t="shared" si="146"/>
        <v>0</v>
      </c>
      <c r="DI855" s="20">
        <f t="shared" si="147"/>
        <v>0</v>
      </c>
    </row>
    <row r="856" spans="80:113" x14ac:dyDescent="0.3">
      <c r="CB856" s="18"/>
      <c r="CC856" s="19"/>
      <c r="CD856" s="19"/>
      <c r="CE856" s="19"/>
      <c r="CF856" s="19"/>
      <c r="CG856" s="19"/>
      <c r="CH856" s="19"/>
      <c r="CI856" s="18"/>
      <c r="CJ856" s="18"/>
      <c r="CN856" s="18"/>
      <c r="CO856" s="19"/>
      <c r="CP856" s="19"/>
      <c r="CQ856" s="19"/>
      <c r="CR856" s="19"/>
      <c r="CS856" s="19"/>
      <c r="CT856" s="19"/>
      <c r="CU856" s="20"/>
      <c r="CV856" s="20"/>
      <c r="DA856" s="18">
        <f t="shared" si="139"/>
        <v>0</v>
      </c>
      <c r="DB856" s="19">
        <f t="shared" si="140"/>
        <v>0</v>
      </c>
      <c r="DC856" s="19">
        <f t="shared" si="141"/>
        <v>0</v>
      </c>
      <c r="DD856" s="19">
        <f t="shared" si="142"/>
        <v>0</v>
      </c>
      <c r="DE856" s="19">
        <f t="shared" si="143"/>
        <v>0</v>
      </c>
      <c r="DF856" s="19">
        <f t="shared" si="144"/>
        <v>0</v>
      </c>
      <c r="DG856" s="19">
        <f t="shared" si="145"/>
        <v>0</v>
      </c>
      <c r="DH856" s="20">
        <f t="shared" si="146"/>
        <v>0</v>
      </c>
      <c r="DI856" s="20">
        <f t="shared" si="147"/>
        <v>0</v>
      </c>
    </row>
    <row r="857" spans="80:113" x14ac:dyDescent="0.3">
      <c r="CB857" s="18"/>
      <c r="CC857" s="19"/>
      <c r="CD857" s="19"/>
      <c r="CE857" s="19"/>
      <c r="CF857" s="19"/>
      <c r="CG857" s="19"/>
      <c r="CH857" s="19"/>
      <c r="CI857" s="18"/>
      <c r="CJ857" s="18"/>
      <c r="CN857" s="18"/>
      <c r="CO857" s="19"/>
      <c r="CP857" s="19"/>
      <c r="CQ857" s="19"/>
      <c r="CR857" s="19"/>
      <c r="CS857" s="19"/>
      <c r="CT857" s="19"/>
      <c r="CU857" s="20"/>
      <c r="CV857" s="20"/>
      <c r="DA857" s="18">
        <f t="shared" si="139"/>
        <v>0</v>
      </c>
      <c r="DB857" s="19">
        <f t="shared" si="140"/>
        <v>0</v>
      </c>
      <c r="DC857" s="19">
        <f t="shared" si="141"/>
        <v>0</v>
      </c>
      <c r="DD857" s="19">
        <f t="shared" si="142"/>
        <v>0</v>
      </c>
      <c r="DE857" s="19">
        <f t="shared" si="143"/>
        <v>0</v>
      </c>
      <c r="DF857" s="19">
        <f t="shared" si="144"/>
        <v>0</v>
      </c>
      <c r="DG857" s="19">
        <f t="shared" si="145"/>
        <v>0</v>
      </c>
      <c r="DH857" s="20">
        <f t="shared" si="146"/>
        <v>0</v>
      </c>
      <c r="DI857" s="20">
        <f t="shared" si="147"/>
        <v>0</v>
      </c>
    </row>
    <row r="858" spans="80:113" x14ac:dyDescent="0.3">
      <c r="CB858" s="18"/>
      <c r="CC858" s="19"/>
      <c r="CD858" s="19"/>
      <c r="CE858" s="19"/>
      <c r="CF858" s="19"/>
      <c r="CG858" s="19"/>
      <c r="CH858" s="19"/>
      <c r="CI858" s="18"/>
      <c r="CJ858" s="18"/>
      <c r="CN858" s="18"/>
      <c r="CO858" s="19"/>
      <c r="CP858" s="19"/>
      <c r="CQ858" s="19"/>
      <c r="CR858" s="19"/>
      <c r="CS858" s="19"/>
      <c r="CT858" s="19"/>
      <c r="CU858" s="20"/>
      <c r="CV858" s="20"/>
      <c r="DA858" s="18">
        <f t="shared" si="139"/>
        <v>0</v>
      </c>
      <c r="DB858" s="19">
        <f t="shared" si="140"/>
        <v>0</v>
      </c>
      <c r="DC858" s="19">
        <f t="shared" si="141"/>
        <v>0</v>
      </c>
      <c r="DD858" s="19">
        <f t="shared" si="142"/>
        <v>0</v>
      </c>
      <c r="DE858" s="19">
        <f t="shared" si="143"/>
        <v>0</v>
      </c>
      <c r="DF858" s="19">
        <f t="shared" si="144"/>
        <v>0</v>
      </c>
      <c r="DG858" s="19">
        <f t="shared" si="145"/>
        <v>0</v>
      </c>
      <c r="DH858" s="20">
        <f t="shared" si="146"/>
        <v>0</v>
      </c>
      <c r="DI858" s="20">
        <f t="shared" si="147"/>
        <v>0</v>
      </c>
    </row>
    <row r="859" spans="80:113" x14ac:dyDescent="0.3">
      <c r="CB859" s="18"/>
      <c r="CC859" s="19"/>
      <c r="CD859" s="19"/>
      <c r="CE859" s="19"/>
      <c r="CF859" s="19"/>
      <c r="CG859" s="19"/>
      <c r="CH859" s="19"/>
      <c r="CI859" s="18"/>
      <c r="CJ859" s="18"/>
      <c r="CN859" s="18"/>
      <c r="CO859" s="19"/>
      <c r="CP859" s="19"/>
      <c r="CQ859" s="19"/>
      <c r="CR859" s="19"/>
      <c r="CS859" s="19"/>
      <c r="CT859" s="19"/>
      <c r="CU859" s="20"/>
      <c r="CV859" s="20"/>
      <c r="DA859" s="18">
        <f t="shared" si="139"/>
        <v>0</v>
      </c>
      <c r="DB859" s="19">
        <f t="shared" si="140"/>
        <v>0</v>
      </c>
      <c r="DC859" s="19">
        <f t="shared" si="141"/>
        <v>0</v>
      </c>
      <c r="DD859" s="19">
        <f t="shared" si="142"/>
        <v>0</v>
      </c>
      <c r="DE859" s="19">
        <f t="shared" si="143"/>
        <v>0</v>
      </c>
      <c r="DF859" s="19">
        <f t="shared" si="144"/>
        <v>0</v>
      </c>
      <c r="DG859" s="19">
        <f t="shared" si="145"/>
        <v>0</v>
      </c>
      <c r="DH859" s="20">
        <f t="shared" si="146"/>
        <v>0</v>
      </c>
      <c r="DI859" s="20">
        <f t="shared" si="147"/>
        <v>0</v>
      </c>
    </row>
    <row r="860" spans="80:113" x14ac:dyDescent="0.3">
      <c r="CB860" s="18"/>
      <c r="CC860" s="19"/>
      <c r="CD860" s="19"/>
      <c r="CE860" s="19"/>
      <c r="CF860" s="19"/>
      <c r="CG860" s="19"/>
      <c r="CH860" s="19"/>
      <c r="CI860" s="18"/>
      <c r="CJ860" s="18"/>
      <c r="CN860" s="18"/>
      <c r="CO860" s="19"/>
      <c r="CP860" s="19"/>
      <c r="CQ860" s="19"/>
      <c r="CR860" s="19"/>
      <c r="CS860" s="19"/>
      <c r="CT860" s="19"/>
      <c r="CU860" s="20"/>
      <c r="CV860" s="20"/>
      <c r="DA860" s="18">
        <f t="shared" si="139"/>
        <v>0</v>
      </c>
      <c r="DB860" s="19">
        <f t="shared" si="140"/>
        <v>0</v>
      </c>
      <c r="DC860" s="19">
        <f t="shared" si="141"/>
        <v>0</v>
      </c>
      <c r="DD860" s="19">
        <f t="shared" si="142"/>
        <v>0</v>
      </c>
      <c r="DE860" s="19">
        <f t="shared" si="143"/>
        <v>0</v>
      </c>
      <c r="DF860" s="19">
        <f t="shared" si="144"/>
        <v>0</v>
      </c>
      <c r="DG860" s="19">
        <f t="shared" si="145"/>
        <v>0</v>
      </c>
      <c r="DH860" s="20">
        <f t="shared" si="146"/>
        <v>0</v>
      </c>
      <c r="DI860" s="20">
        <f t="shared" si="147"/>
        <v>0</v>
      </c>
    </row>
    <row r="861" spans="80:113" x14ac:dyDescent="0.3">
      <c r="CB861" s="18"/>
      <c r="CC861" s="19"/>
      <c r="CD861" s="19"/>
      <c r="CE861" s="19"/>
      <c r="CF861" s="19"/>
      <c r="CG861" s="19"/>
      <c r="CH861" s="19"/>
      <c r="CI861" s="18"/>
      <c r="CJ861" s="18"/>
      <c r="CN861" s="18"/>
      <c r="CO861" s="19"/>
      <c r="CP861" s="19"/>
      <c r="CQ861" s="19"/>
      <c r="CR861" s="19"/>
      <c r="CS861" s="19"/>
      <c r="CT861" s="19"/>
      <c r="CU861" s="20"/>
      <c r="CV861" s="20"/>
      <c r="DA861" s="18">
        <f t="shared" si="139"/>
        <v>0</v>
      </c>
      <c r="DB861" s="19">
        <f t="shared" si="140"/>
        <v>0</v>
      </c>
      <c r="DC861" s="19">
        <f t="shared" si="141"/>
        <v>0</v>
      </c>
      <c r="DD861" s="19">
        <f t="shared" si="142"/>
        <v>0</v>
      </c>
      <c r="DE861" s="19">
        <f t="shared" si="143"/>
        <v>0</v>
      </c>
      <c r="DF861" s="19">
        <f t="shared" si="144"/>
        <v>0</v>
      </c>
      <c r="DG861" s="19">
        <f t="shared" si="145"/>
        <v>0</v>
      </c>
      <c r="DH861" s="20">
        <f t="shared" si="146"/>
        <v>0</v>
      </c>
      <c r="DI861" s="20">
        <f t="shared" si="147"/>
        <v>0</v>
      </c>
    </row>
    <row r="862" spans="80:113" x14ac:dyDescent="0.3">
      <c r="CB862" s="18"/>
      <c r="CC862" s="19"/>
      <c r="CD862" s="19"/>
      <c r="CE862" s="19"/>
      <c r="CF862" s="19"/>
      <c r="CG862" s="19"/>
      <c r="CH862" s="19"/>
      <c r="CI862" s="18"/>
      <c r="CJ862" s="18"/>
      <c r="CN862" s="18"/>
      <c r="CO862" s="19"/>
      <c r="CP862" s="19"/>
      <c r="CQ862" s="19"/>
      <c r="CR862" s="19"/>
      <c r="CS862" s="19"/>
      <c r="CT862" s="19"/>
      <c r="CU862" s="20"/>
      <c r="CV862" s="20"/>
      <c r="DA862" s="18">
        <f t="shared" si="139"/>
        <v>0</v>
      </c>
      <c r="DB862" s="19">
        <f t="shared" si="140"/>
        <v>0</v>
      </c>
      <c r="DC862" s="19">
        <f t="shared" si="141"/>
        <v>0</v>
      </c>
      <c r="DD862" s="19">
        <f t="shared" si="142"/>
        <v>0</v>
      </c>
      <c r="DE862" s="19">
        <f t="shared" si="143"/>
        <v>0</v>
      </c>
      <c r="DF862" s="19">
        <f t="shared" si="144"/>
        <v>0</v>
      </c>
      <c r="DG862" s="19">
        <f t="shared" si="145"/>
        <v>0</v>
      </c>
      <c r="DH862" s="20">
        <f t="shared" si="146"/>
        <v>0</v>
      </c>
      <c r="DI862" s="20">
        <f t="shared" si="147"/>
        <v>0</v>
      </c>
    </row>
    <row r="863" spans="80:113" x14ac:dyDescent="0.3">
      <c r="CB863" s="18"/>
      <c r="CC863" s="19"/>
      <c r="CD863" s="19"/>
      <c r="CE863" s="19"/>
      <c r="CF863" s="19"/>
      <c r="CG863" s="19"/>
      <c r="CH863" s="19"/>
      <c r="CI863" s="18"/>
      <c r="CJ863" s="18"/>
      <c r="CN863" s="18"/>
      <c r="CO863" s="19"/>
      <c r="CP863" s="19"/>
      <c r="CQ863" s="19"/>
      <c r="CR863" s="19"/>
      <c r="CS863" s="19"/>
      <c r="CT863" s="19"/>
      <c r="CU863" s="20"/>
      <c r="CV863" s="20"/>
      <c r="DA863" s="18">
        <f t="shared" si="139"/>
        <v>0</v>
      </c>
      <c r="DB863" s="19">
        <f t="shared" si="140"/>
        <v>0</v>
      </c>
      <c r="DC863" s="19">
        <f t="shared" si="141"/>
        <v>0</v>
      </c>
      <c r="DD863" s="19">
        <f t="shared" si="142"/>
        <v>0</v>
      </c>
      <c r="DE863" s="19">
        <f t="shared" si="143"/>
        <v>0</v>
      </c>
      <c r="DF863" s="19">
        <f t="shared" si="144"/>
        <v>0</v>
      </c>
      <c r="DG863" s="19">
        <f t="shared" si="145"/>
        <v>0</v>
      </c>
      <c r="DH863" s="20">
        <f t="shared" si="146"/>
        <v>0</v>
      </c>
      <c r="DI863" s="20">
        <f t="shared" si="147"/>
        <v>0</v>
      </c>
    </row>
    <row r="864" spans="80:113" x14ac:dyDescent="0.3">
      <c r="CB864" s="18"/>
      <c r="CC864" s="19"/>
      <c r="CD864" s="19"/>
      <c r="CE864" s="19"/>
      <c r="CF864" s="19"/>
      <c r="CG864" s="19"/>
      <c r="CH864" s="19"/>
      <c r="CI864" s="18"/>
      <c r="CJ864" s="18"/>
      <c r="CN864" s="18"/>
      <c r="CO864" s="19"/>
      <c r="CP864" s="19"/>
      <c r="CQ864" s="19"/>
      <c r="CR864" s="19"/>
      <c r="CS864" s="19"/>
      <c r="CT864" s="19"/>
      <c r="CU864" s="20"/>
      <c r="CV864" s="20"/>
      <c r="DA864" s="18">
        <f t="shared" si="139"/>
        <v>0</v>
      </c>
      <c r="DB864" s="19">
        <f t="shared" si="140"/>
        <v>0</v>
      </c>
      <c r="DC864" s="19">
        <f t="shared" si="141"/>
        <v>0</v>
      </c>
      <c r="DD864" s="19">
        <f t="shared" si="142"/>
        <v>0</v>
      </c>
      <c r="DE864" s="19">
        <f t="shared" si="143"/>
        <v>0</v>
      </c>
      <c r="DF864" s="19">
        <f t="shared" si="144"/>
        <v>0</v>
      </c>
      <c r="DG864" s="19">
        <f t="shared" si="145"/>
        <v>0</v>
      </c>
      <c r="DH864" s="20">
        <f t="shared" si="146"/>
        <v>0</v>
      </c>
      <c r="DI864" s="20">
        <f t="shared" si="147"/>
        <v>0</v>
      </c>
    </row>
    <row r="865" spans="80:113" x14ac:dyDescent="0.3">
      <c r="CB865" s="18"/>
      <c r="CC865" s="19"/>
      <c r="CD865" s="19"/>
      <c r="CE865" s="19"/>
      <c r="CF865" s="19"/>
      <c r="CG865" s="19"/>
      <c r="CH865" s="19"/>
      <c r="CI865" s="18"/>
      <c r="CJ865" s="18"/>
      <c r="CN865" s="18"/>
      <c r="CO865" s="19"/>
      <c r="CP865" s="19"/>
      <c r="CQ865" s="19"/>
      <c r="CR865" s="19"/>
      <c r="CS865" s="19"/>
      <c r="CT865" s="19"/>
      <c r="CU865" s="20"/>
      <c r="CV865" s="20"/>
      <c r="DA865" s="18">
        <f t="shared" si="139"/>
        <v>0</v>
      </c>
      <c r="DB865" s="19">
        <f t="shared" si="140"/>
        <v>0</v>
      </c>
      <c r="DC865" s="19">
        <f t="shared" si="141"/>
        <v>0</v>
      </c>
      <c r="DD865" s="19">
        <f t="shared" si="142"/>
        <v>0</v>
      </c>
      <c r="DE865" s="19">
        <f t="shared" si="143"/>
        <v>0</v>
      </c>
      <c r="DF865" s="19">
        <f t="shared" si="144"/>
        <v>0</v>
      </c>
      <c r="DG865" s="19">
        <f t="shared" si="145"/>
        <v>0</v>
      </c>
      <c r="DH865" s="20">
        <f t="shared" si="146"/>
        <v>0</v>
      </c>
      <c r="DI865" s="20">
        <f t="shared" si="147"/>
        <v>0</v>
      </c>
    </row>
    <row r="866" spans="80:113" x14ac:dyDescent="0.3">
      <c r="CB866" s="18"/>
      <c r="CC866" s="19"/>
      <c r="CD866" s="19"/>
      <c r="CE866" s="19"/>
      <c r="CF866" s="19"/>
      <c r="CG866" s="19"/>
      <c r="CH866" s="19"/>
      <c r="CI866" s="18"/>
      <c r="CJ866" s="18"/>
      <c r="CN866" s="18"/>
      <c r="CO866" s="19"/>
      <c r="CP866" s="19"/>
      <c r="CQ866" s="19"/>
      <c r="CR866" s="19"/>
      <c r="CS866" s="19"/>
      <c r="CT866" s="19"/>
      <c r="CU866" s="20"/>
      <c r="CV866" s="20"/>
      <c r="DA866" s="18">
        <f t="shared" si="139"/>
        <v>0</v>
      </c>
      <c r="DB866" s="19">
        <f t="shared" si="140"/>
        <v>0</v>
      </c>
      <c r="DC866" s="19">
        <f t="shared" si="141"/>
        <v>0</v>
      </c>
      <c r="DD866" s="19">
        <f t="shared" si="142"/>
        <v>0</v>
      </c>
      <c r="DE866" s="19">
        <f t="shared" si="143"/>
        <v>0</v>
      </c>
      <c r="DF866" s="19">
        <f t="shared" si="144"/>
        <v>0</v>
      </c>
      <c r="DG866" s="19">
        <f t="shared" si="145"/>
        <v>0</v>
      </c>
      <c r="DH866" s="20">
        <f t="shared" si="146"/>
        <v>0</v>
      </c>
      <c r="DI866" s="20">
        <f t="shared" si="147"/>
        <v>0</v>
      </c>
    </row>
    <row r="867" spans="80:113" x14ac:dyDescent="0.3">
      <c r="CB867" s="18"/>
      <c r="CC867" s="19"/>
      <c r="CD867" s="19"/>
      <c r="CE867" s="19"/>
      <c r="CF867" s="19"/>
      <c r="CG867" s="19"/>
      <c r="CH867" s="19"/>
      <c r="CI867" s="18"/>
      <c r="CJ867" s="18"/>
      <c r="CN867" s="18"/>
      <c r="CO867" s="19"/>
      <c r="CP867" s="19"/>
      <c r="CQ867" s="19"/>
      <c r="CR867" s="19"/>
      <c r="CS867" s="19"/>
      <c r="CT867" s="19"/>
      <c r="CU867" s="20"/>
      <c r="CV867" s="20"/>
      <c r="DA867" s="18">
        <f t="shared" si="139"/>
        <v>0</v>
      </c>
      <c r="DB867" s="19">
        <f t="shared" si="140"/>
        <v>0</v>
      </c>
      <c r="DC867" s="19">
        <f t="shared" si="141"/>
        <v>0</v>
      </c>
      <c r="DD867" s="19">
        <f t="shared" si="142"/>
        <v>0</v>
      </c>
      <c r="DE867" s="19">
        <f t="shared" si="143"/>
        <v>0</v>
      </c>
      <c r="DF867" s="19">
        <f t="shared" si="144"/>
        <v>0</v>
      </c>
      <c r="DG867" s="19">
        <f t="shared" si="145"/>
        <v>0</v>
      </c>
      <c r="DH867" s="20">
        <f t="shared" si="146"/>
        <v>0</v>
      </c>
      <c r="DI867" s="20">
        <f t="shared" si="147"/>
        <v>0</v>
      </c>
    </row>
    <row r="868" spans="80:113" x14ac:dyDescent="0.3">
      <c r="CB868" s="18"/>
      <c r="CC868" s="19"/>
      <c r="CD868" s="19"/>
      <c r="CE868" s="19"/>
      <c r="CF868" s="19"/>
      <c r="CG868" s="19"/>
      <c r="CH868" s="19"/>
      <c r="CI868" s="18"/>
      <c r="CJ868" s="18"/>
      <c r="CN868" s="18"/>
      <c r="CO868" s="19"/>
      <c r="CP868" s="19"/>
      <c r="CQ868" s="19"/>
      <c r="CR868" s="19"/>
      <c r="CS868" s="19"/>
      <c r="CT868" s="19"/>
      <c r="CU868" s="20"/>
      <c r="CV868" s="20"/>
      <c r="DA868" s="18">
        <f t="shared" si="139"/>
        <v>0</v>
      </c>
      <c r="DB868" s="19">
        <f t="shared" si="140"/>
        <v>0</v>
      </c>
      <c r="DC868" s="19">
        <f t="shared" si="141"/>
        <v>0</v>
      </c>
      <c r="DD868" s="19">
        <f t="shared" si="142"/>
        <v>0</v>
      </c>
      <c r="DE868" s="19">
        <f t="shared" si="143"/>
        <v>0</v>
      </c>
      <c r="DF868" s="19">
        <f t="shared" si="144"/>
        <v>0</v>
      </c>
      <c r="DG868" s="19">
        <f t="shared" si="145"/>
        <v>0</v>
      </c>
      <c r="DH868" s="20">
        <f t="shared" si="146"/>
        <v>0</v>
      </c>
      <c r="DI868" s="20">
        <f t="shared" si="147"/>
        <v>0</v>
      </c>
    </row>
    <row r="869" spans="80:113" x14ac:dyDescent="0.3">
      <c r="CB869" s="18"/>
      <c r="CC869" s="19"/>
      <c r="CD869" s="19"/>
      <c r="CE869" s="19"/>
      <c r="CF869" s="19"/>
      <c r="CG869" s="19"/>
      <c r="CH869" s="19"/>
      <c r="CI869" s="18"/>
      <c r="CJ869" s="18"/>
      <c r="CN869" s="18"/>
      <c r="CO869" s="19"/>
      <c r="CP869" s="19"/>
      <c r="CQ869" s="19"/>
      <c r="CR869" s="19"/>
      <c r="CS869" s="19"/>
      <c r="CT869" s="19"/>
      <c r="CU869" s="20"/>
      <c r="CV869" s="20"/>
      <c r="DA869" s="18">
        <f t="shared" si="139"/>
        <v>0</v>
      </c>
      <c r="DB869" s="19">
        <f t="shared" si="140"/>
        <v>0</v>
      </c>
      <c r="DC869" s="19">
        <f t="shared" si="141"/>
        <v>0</v>
      </c>
      <c r="DD869" s="19">
        <f t="shared" si="142"/>
        <v>0</v>
      </c>
      <c r="DE869" s="19">
        <f t="shared" si="143"/>
        <v>0</v>
      </c>
      <c r="DF869" s="19">
        <f t="shared" si="144"/>
        <v>0</v>
      </c>
      <c r="DG869" s="19">
        <f t="shared" si="145"/>
        <v>0</v>
      </c>
      <c r="DH869" s="20">
        <f t="shared" si="146"/>
        <v>0</v>
      </c>
      <c r="DI869" s="20">
        <f t="shared" si="147"/>
        <v>0</v>
      </c>
    </row>
    <row r="870" spans="80:113" x14ac:dyDescent="0.3">
      <c r="CB870" s="18"/>
      <c r="CC870" s="19"/>
      <c r="CD870" s="19"/>
      <c r="CE870" s="19"/>
      <c r="CF870" s="19"/>
      <c r="CG870" s="19"/>
      <c r="CH870" s="19"/>
      <c r="CI870" s="18"/>
      <c r="CJ870" s="18"/>
      <c r="CN870" s="18"/>
      <c r="CO870" s="19"/>
      <c r="CP870" s="19"/>
      <c r="CQ870" s="19"/>
      <c r="CR870" s="19"/>
      <c r="CS870" s="19"/>
      <c r="CT870" s="19"/>
      <c r="CU870" s="20"/>
      <c r="CV870" s="20"/>
      <c r="DA870" s="18">
        <f t="shared" si="139"/>
        <v>0</v>
      </c>
      <c r="DB870" s="19">
        <f t="shared" si="140"/>
        <v>0</v>
      </c>
      <c r="DC870" s="19">
        <f t="shared" si="141"/>
        <v>0</v>
      </c>
      <c r="DD870" s="19">
        <f t="shared" si="142"/>
        <v>0</v>
      </c>
      <c r="DE870" s="19">
        <f t="shared" si="143"/>
        <v>0</v>
      </c>
      <c r="DF870" s="19">
        <f t="shared" si="144"/>
        <v>0</v>
      </c>
      <c r="DG870" s="19">
        <f t="shared" si="145"/>
        <v>0</v>
      </c>
      <c r="DH870" s="20">
        <f t="shared" si="146"/>
        <v>0</v>
      </c>
      <c r="DI870" s="20">
        <f t="shared" si="147"/>
        <v>0</v>
      </c>
    </row>
    <row r="871" spans="80:113" x14ac:dyDescent="0.3">
      <c r="CB871" s="18"/>
      <c r="CC871" s="19"/>
      <c r="CD871" s="19"/>
      <c r="CE871" s="19"/>
      <c r="CF871" s="19"/>
      <c r="CG871" s="19"/>
      <c r="CH871" s="19"/>
      <c r="CI871" s="18"/>
      <c r="CJ871" s="18"/>
      <c r="CN871" s="18"/>
      <c r="CO871" s="19"/>
      <c r="CP871" s="19"/>
      <c r="CQ871" s="19"/>
      <c r="CR871" s="19"/>
      <c r="CS871" s="19"/>
      <c r="CT871" s="19"/>
      <c r="CU871" s="20"/>
      <c r="CV871" s="20"/>
      <c r="DA871" s="18">
        <f t="shared" si="139"/>
        <v>0</v>
      </c>
      <c r="DB871" s="19">
        <f t="shared" si="140"/>
        <v>0</v>
      </c>
      <c r="DC871" s="19">
        <f t="shared" si="141"/>
        <v>0</v>
      </c>
      <c r="DD871" s="19">
        <f t="shared" si="142"/>
        <v>0</v>
      </c>
      <c r="DE871" s="19">
        <f t="shared" si="143"/>
        <v>0</v>
      </c>
      <c r="DF871" s="19">
        <f t="shared" si="144"/>
        <v>0</v>
      </c>
      <c r="DG871" s="19">
        <f t="shared" si="145"/>
        <v>0</v>
      </c>
      <c r="DH871" s="20">
        <f t="shared" si="146"/>
        <v>0</v>
      </c>
      <c r="DI871" s="20">
        <f t="shared" si="147"/>
        <v>0</v>
      </c>
    </row>
    <row r="872" spans="80:113" x14ac:dyDescent="0.3">
      <c r="CB872" s="18"/>
      <c r="CC872" s="19"/>
      <c r="CD872" s="19"/>
      <c r="CE872" s="19"/>
      <c r="CF872" s="19"/>
      <c r="CG872" s="19"/>
      <c r="CH872" s="19"/>
      <c r="CI872" s="18"/>
      <c r="CJ872" s="18"/>
      <c r="CN872" s="18"/>
      <c r="CO872" s="19"/>
      <c r="CP872" s="19"/>
      <c r="CQ872" s="19"/>
      <c r="CR872" s="19"/>
      <c r="CS872" s="19"/>
      <c r="CT872" s="19"/>
      <c r="CU872" s="20"/>
      <c r="CV872" s="20"/>
      <c r="DA872" s="18">
        <f t="shared" si="139"/>
        <v>0</v>
      </c>
      <c r="DB872" s="19">
        <f t="shared" si="140"/>
        <v>0</v>
      </c>
      <c r="DC872" s="19">
        <f t="shared" si="141"/>
        <v>0</v>
      </c>
      <c r="DD872" s="19">
        <f t="shared" si="142"/>
        <v>0</v>
      </c>
      <c r="DE872" s="19">
        <f t="shared" si="143"/>
        <v>0</v>
      </c>
      <c r="DF872" s="19">
        <f t="shared" si="144"/>
        <v>0</v>
      </c>
      <c r="DG872" s="19">
        <f t="shared" si="145"/>
        <v>0</v>
      </c>
      <c r="DH872" s="20">
        <f t="shared" si="146"/>
        <v>0</v>
      </c>
      <c r="DI872" s="20">
        <f t="shared" si="147"/>
        <v>0</v>
      </c>
    </row>
    <row r="873" spans="80:113" x14ac:dyDescent="0.3">
      <c r="CB873" s="18"/>
      <c r="CC873" s="19"/>
      <c r="CD873" s="19"/>
      <c r="CE873" s="19"/>
      <c r="CF873" s="19"/>
      <c r="CG873" s="19"/>
      <c r="CH873" s="19"/>
      <c r="CI873" s="18"/>
      <c r="CJ873" s="18"/>
      <c r="CN873" s="18"/>
      <c r="CO873" s="19"/>
      <c r="CP873" s="19"/>
      <c r="CQ873" s="19"/>
      <c r="CR873" s="19"/>
      <c r="CS873" s="19"/>
      <c r="CT873" s="19"/>
      <c r="CU873" s="20"/>
      <c r="CV873" s="20"/>
      <c r="DA873" s="18">
        <f t="shared" si="139"/>
        <v>0</v>
      </c>
      <c r="DB873" s="19">
        <f t="shared" si="140"/>
        <v>0</v>
      </c>
      <c r="DC873" s="19">
        <f t="shared" si="141"/>
        <v>0</v>
      </c>
      <c r="DD873" s="19">
        <f t="shared" si="142"/>
        <v>0</v>
      </c>
      <c r="DE873" s="19">
        <f t="shared" si="143"/>
        <v>0</v>
      </c>
      <c r="DF873" s="19">
        <f t="shared" si="144"/>
        <v>0</v>
      </c>
      <c r="DG873" s="19">
        <f t="shared" si="145"/>
        <v>0</v>
      </c>
      <c r="DH873" s="20">
        <f t="shared" si="146"/>
        <v>0</v>
      </c>
      <c r="DI873" s="20">
        <f t="shared" si="147"/>
        <v>0</v>
      </c>
    </row>
    <row r="874" spans="80:113" x14ac:dyDescent="0.3">
      <c r="CB874" s="18"/>
      <c r="CC874" s="19"/>
      <c r="CD874" s="19"/>
      <c r="CE874" s="19"/>
      <c r="CF874" s="19"/>
      <c r="CG874" s="19"/>
      <c r="CH874" s="19"/>
      <c r="CI874" s="18"/>
      <c r="CJ874" s="18"/>
      <c r="CN874" s="18"/>
      <c r="CO874" s="19"/>
      <c r="CP874" s="19"/>
      <c r="CQ874" s="19"/>
      <c r="CR874" s="19"/>
      <c r="CS874" s="19"/>
      <c r="CT874" s="19"/>
      <c r="CU874" s="20"/>
      <c r="CV874" s="20"/>
      <c r="DA874" s="18">
        <f t="shared" si="139"/>
        <v>0</v>
      </c>
      <c r="DB874" s="19">
        <f t="shared" si="140"/>
        <v>0</v>
      </c>
      <c r="DC874" s="19">
        <f t="shared" si="141"/>
        <v>0</v>
      </c>
      <c r="DD874" s="19">
        <f t="shared" si="142"/>
        <v>0</v>
      </c>
      <c r="DE874" s="19">
        <f t="shared" si="143"/>
        <v>0</v>
      </c>
      <c r="DF874" s="19">
        <f t="shared" si="144"/>
        <v>0</v>
      </c>
      <c r="DG874" s="19">
        <f t="shared" si="145"/>
        <v>0</v>
      </c>
      <c r="DH874" s="20">
        <f t="shared" si="146"/>
        <v>0</v>
      </c>
      <c r="DI874" s="20">
        <f t="shared" si="147"/>
        <v>0</v>
      </c>
    </row>
    <row r="875" spans="80:113" x14ac:dyDescent="0.3">
      <c r="CB875" s="18"/>
      <c r="CC875" s="19"/>
      <c r="CD875" s="19"/>
      <c r="CE875" s="19"/>
      <c r="CF875" s="19"/>
      <c r="CG875" s="19"/>
      <c r="CH875" s="19"/>
      <c r="CI875" s="18"/>
      <c r="CJ875" s="18"/>
      <c r="CN875" s="18"/>
      <c r="CO875" s="19"/>
      <c r="CP875" s="19"/>
      <c r="CQ875" s="19"/>
      <c r="CR875" s="19"/>
      <c r="CS875" s="19"/>
      <c r="CT875" s="19"/>
      <c r="CU875" s="20"/>
      <c r="CV875" s="20"/>
      <c r="DA875" s="18">
        <f t="shared" si="139"/>
        <v>0</v>
      </c>
      <c r="DB875" s="19">
        <f t="shared" si="140"/>
        <v>0</v>
      </c>
      <c r="DC875" s="19">
        <f t="shared" si="141"/>
        <v>0</v>
      </c>
      <c r="DD875" s="19">
        <f t="shared" si="142"/>
        <v>0</v>
      </c>
      <c r="DE875" s="19">
        <f t="shared" si="143"/>
        <v>0</v>
      </c>
      <c r="DF875" s="19">
        <f t="shared" si="144"/>
        <v>0</v>
      </c>
      <c r="DG875" s="19">
        <f t="shared" si="145"/>
        <v>0</v>
      </c>
      <c r="DH875" s="20">
        <f t="shared" si="146"/>
        <v>0</v>
      </c>
      <c r="DI875" s="20">
        <f t="shared" si="147"/>
        <v>0</v>
      </c>
    </row>
    <row r="876" spans="80:113" x14ac:dyDescent="0.3">
      <c r="CB876" s="18"/>
      <c r="CC876" s="19"/>
      <c r="CD876" s="19"/>
      <c r="CE876" s="19"/>
      <c r="CF876" s="19"/>
      <c r="CG876" s="19"/>
      <c r="CH876" s="19"/>
      <c r="CI876" s="18"/>
      <c r="CJ876" s="18"/>
      <c r="CN876" s="18"/>
      <c r="CO876" s="19"/>
      <c r="CP876" s="19"/>
      <c r="CQ876" s="19"/>
      <c r="CR876" s="19"/>
      <c r="CS876" s="19"/>
      <c r="CT876" s="19"/>
      <c r="CU876" s="20"/>
      <c r="CV876" s="20"/>
      <c r="DA876" s="18">
        <f t="shared" si="139"/>
        <v>0</v>
      </c>
      <c r="DB876" s="19">
        <f t="shared" si="140"/>
        <v>0</v>
      </c>
      <c r="DC876" s="19">
        <f t="shared" si="141"/>
        <v>0</v>
      </c>
      <c r="DD876" s="19">
        <f t="shared" si="142"/>
        <v>0</v>
      </c>
      <c r="DE876" s="19">
        <f t="shared" si="143"/>
        <v>0</v>
      </c>
      <c r="DF876" s="19">
        <f t="shared" si="144"/>
        <v>0</v>
      </c>
      <c r="DG876" s="19">
        <f t="shared" si="145"/>
        <v>0</v>
      </c>
      <c r="DH876" s="20">
        <f t="shared" si="146"/>
        <v>0</v>
      </c>
      <c r="DI876" s="20">
        <f t="shared" si="147"/>
        <v>0</v>
      </c>
    </row>
    <row r="877" spans="80:113" x14ac:dyDescent="0.3">
      <c r="CB877" s="18"/>
      <c r="CC877" s="19"/>
      <c r="CD877" s="19"/>
      <c r="CE877" s="19"/>
      <c r="CF877" s="19"/>
      <c r="CG877" s="19"/>
      <c r="CH877" s="19"/>
      <c r="CI877" s="18"/>
      <c r="CJ877" s="18"/>
      <c r="CN877" s="18"/>
      <c r="CO877" s="19"/>
      <c r="CP877" s="19"/>
      <c r="CQ877" s="19"/>
      <c r="CR877" s="19"/>
      <c r="CS877" s="19"/>
      <c r="CT877" s="19"/>
      <c r="CU877" s="20"/>
      <c r="CV877" s="20"/>
      <c r="DA877" s="18">
        <f t="shared" si="139"/>
        <v>0</v>
      </c>
      <c r="DB877" s="19">
        <f t="shared" si="140"/>
        <v>0</v>
      </c>
      <c r="DC877" s="19">
        <f t="shared" si="141"/>
        <v>0</v>
      </c>
      <c r="DD877" s="19">
        <f t="shared" si="142"/>
        <v>0</v>
      </c>
      <c r="DE877" s="19">
        <f t="shared" si="143"/>
        <v>0</v>
      </c>
      <c r="DF877" s="19">
        <f t="shared" si="144"/>
        <v>0</v>
      </c>
      <c r="DG877" s="19">
        <f t="shared" si="145"/>
        <v>0</v>
      </c>
      <c r="DH877" s="20">
        <f t="shared" si="146"/>
        <v>0</v>
      </c>
      <c r="DI877" s="20">
        <f t="shared" si="147"/>
        <v>0</v>
      </c>
    </row>
    <row r="878" spans="80:113" x14ac:dyDescent="0.3">
      <c r="CB878" s="18"/>
      <c r="CC878" s="19"/>
      <c r="CD878" s="19"/>
      <c r="CE878" s="19"/>
      <c r="CF878" s="19"/>
      <c r="CG878" s="19"/>
      <c r="CH878" s="19"/>
      <c r="CI878" s="18"/>
      <c r="CJ878" s="18"/>
      <c r="CN878" s="18"/>
      <c r="CO878" s="19"/>
      <c r="CP878" s="19"/>
      <c r="CQ878" s="19"/>
      <c r="CR878" s="19"/>
      <c r="CS878" s="19"/>
      <c r="CT878" s="19"/>
      <c r="CU878" s="20"/>
      <c r="CV878" s="20"/>
      <c r="DA878" s="18">
        <f t="shared" si="139"/>
        <v>0</v>
      </c>
      <c r="DB878" s="19">
        <f t="shared" si="140"/>
        <v>0</v>
      </c>
      <c r="DC878" s="19">
        <f t="shared" si="141"/>
        <v>0</v>
      </c>
      <c r="DD878" s="19">
        <f t="shared" si="142"/>
        <v>0</v>
      </c>
      <c r="DE878" s="19">
        <f t="shared" si="143"/>
        <v>0</v>
      </c>
      <c r="DF878" s="19">
        <f t="shared" si="144"/>
        <v>0</v>
      </c>
      <c r="DG878" s="19">
        <f t="shared" si="145"/>
        <v>0</v>
      </c>
      <c r="DH878" s="20">
        <f t="shared" si="146"/>
        <v>0</v>
      </c>
      <c r="DI878" s="20">
        <f t="shared" si="147"/>
        <v>0</v>
      </c>
    </row>
    <row r="879" spans="80:113" x14ac:dyDescent="0.3">
      <c r="CB879" s="18"/>
      <c r="CC879" s="19"/>
      <c r="CD879" s="19"/>
      <c r="CE879" s="19"/>
      <c r="CF879" s="19"/>
      <c r="CG879" s="19"/>
      <c r="CH879" s="19"/>
      <c r="CI879" s="18"/>
      <c r="CJ879" s="18"/>
      <c r="CN879" s="18"/>
      <c r="CO879" s="19"/>
      <c r="CP879" s="19"/>
      <c r="CQ879" s="19"/>
      <c r="CR879" s="19"/>
      <c r="CS879" s="19"/>
      <c r="CT879" s="19"/>
      <c r="CU879" s="20"/>
      <c r="CV879" s="20"/>
      <c r="DA879" s="18">
        <f t="shared" si="139"/>
        <v>0</v>
      </c>
      <c r="DB879" s="19">
        <f t="shared" si="140"/>
        <v>0</v>
      </c>
      <c r="DC879" s="19">
        <f t="shared" si="141"/>
        <v>0</v>
      </c>
      <c r="DD879" s="19">
        <f t="shared" si="142"/>
        <v>0</v>
      </c>
      <c r="DE879" s="19">
        <f t="shared" si="143"/>
        <v>0</v>
      </c>
      <c r="DF879" s="19">
        <f t="shared" si="144"/>
        <v>0</v>
      </c>
      <c r="DG879" s="19">
        <f t="shared" si="145"/>
        <v>0</v>
      </c>
      <c r="DH879" s="20">
        <f t="shared" si="146"/>
        <v>0</v>
      </c>
      <c r="DI879" s="20">
        <f t="shared" si="147"/>
        <v>0</v>
      </c>
    </row>
    <row r="880" spans="80:113" x14ac:dyDescent="0.3">
      <c r="CB880" s="18"/>
      <c r="CC880" s="19"/>
      <c r="CD880" s="19"/>
      <c r="CE880" s="19"/>
      <c r="CF880" s="19"/>
      <c r="CG880" s="19"/>
      <c r="CH880" s="19"/>
      <c r="CI880" s="18"/>
      <c r="CJ880" s="18"/>
      <c r="CN880" s="18"/>
      <c r="CO880" s="19"/>
      <c r="CP880" s="19"/>
      <c r="CQ880" s="19"/>
      <c r="CR880" s="19"/>
      <c r="CS880" s="19"/>
      <c r="CT880" s="19"/>
      <c r="CU880" s="20"/>
      <c r="CV880" s="20"/>
      <c r="DA880" s="18">
        <f t="shared" si="139"/>
        <v>0</v>
      </c>
      <c r="DB880" s="19">
        <f t="shared" si="140"/>
        <v>0</v>
      </c>
      <c r="DC880" s="19">
        <f t="shared" si="141"/>
        <v>0</v>
      </c>
      <c r="DD880" s="19">
        <f t="shared" si="142"/>
        <v>0</v>
      </c>
      <c r="DE880" s="19">
        <f t="shared" si="143"/>
        <v>0</v>
      </c>
      <c r="DF880" s="19">
        <f t="shared" si="144"/>
        <v>0</v>
      </c>
      <c r="DG880" s="19">
        <f t="shared" si="145"/>
        <v>0</v>
      </c>
      <c r="DH880" s="20">
        <f t="shared" si="146"/>
        <v>0</v>
      </c>
      <c r="DI880" s="20">
        <f t="shared" si="147"/>
        <v>0</v>
      </c>
    </row>
    <row r="881" spans="80:113" x14ac:dyDescent="0.3">
      <c r="CB881" s="18"/>
      <c r="CC881" s="19"/>
      <c r="CD881" s="19"/>
      <c r="CE881" s="19"/>
      <c r="CF881" s="19"/>
      <c r="CG881" s="19"/>
      <c r="CH881" s="19"/>
      <c r="CI881" s="18"/>
      <c r="CJ881" s="18"/>
      <c r="CN881" s="18"/>
      <c r="CO881" s="19"/>
      <c r="CP881" s="19"/>
      <c r="CQ881" s="19"/>
      <c r="CR881" s="19"/>
      <c r="CS881" s="19"/>
      <c r="CT881" s="19"/>
      <c r="CU881" s="20"/>
      <c r="CV881" s="20"/>
      <c r="DA881" s="18">
        <f t="shared" si="139"/>
        <v>0</v>
      </c>
      <c r="DB881" s="19">
        <f t="shared" si="140"/>
        <v>0</v>
      </c>
      <c r="DC881" s="19">
        <f t="shared" si="141"/>
        <v>0</v>
      </c>
      <c r="DD881" s="19">
        <f t="shared" si="142"/>
        <v>0</v>
      </c>
      <c r="DE881" s="19">
        <f t="shared" si="143"/>
        <v>0</v>
      </c>
      <c r="DF881" s="19">
        <f t="shared" si="144"/>
        <v>0</v>
      </c>
      <c r="DG881" s="19">
        <f t="shared" si="145"/>
        <v>0</v>
      </c>
      <c r="DH881" s="20">
        <f t="shared" si="146"/>
        <v>0</v>
      </c>
      <c r="DI881" s="20">
        <f t="shared" si="147"/>
        <v>0</v>
      </c>
    </row>
    <row r="882" spans="80:113" x14ac:dyDescent="0.3">
      <c r="CB882" s="18"/>
      <c r="CC882" s="19"/>
      <c r="CD882" s="19"/>
      <c r="CE882" s="19"/>
      <c r="CF882" s="19"/>
      <c r="CG882" s="19"/>
      <c r="CH882" s="19"/>
      <c r="CI882" s="18"/>
      <c r="CJ882" s="18"/>
      <c r="CN882" s="18"/>
      <c r="CO882" s="19"/>
      <c r="CP882" s="19"/>
      <c r="CQ882" s="19"/>
      <c r="CR882" s="19"/>
      <c r="CS882" s="19"/>
      <c r="CT882" s="19"/>
      <c r="CU882" s="20"/>
      <c r="CV882" s="20"/>
      <c r="DA882" s="18">
        <f t="shared" si="139"/>
        <v>0</v>
      </c>
      <c r="DB882" s="19">
        <f t="shared" si="140"/>
        <v>0</v>
      </c>
      <c r="DC882" s="19">
        <f t="shared" si="141"/>
        <v>0</v>
      </c>
      <c r="DD882" s="19">
        <f t="shared" si="142"/>
        <v>0</v>
      </c>
      <c r="DE882" s="19">
        <f t="shared" si="143"/>
        <v>0</v>
      </c>
      <c r="DF882" s="19">
        <f t="shared" si="144"/>
        <v>0</v>
      </c>
      <c r="DG882" s="19">
        <f t="shared" si="145"/>
        <v>0</v>
      </c>
      <c r="DH882" s="20">
        <f t="shared" si="146"/>
        <v>0</v>
      </c>
      <c r="DI882" s="20">
        <f t="shared" si="147"/>
        <v>0</v>
      </c>
    </row>
    <row r="883" spans="80:113" x14ac:dyDescent="0.3">
      <c r="CB883" s="18"/>
      <c r="CC883" s="19"/>
      <c r="CD883" s="19"/>
      <c r="CE883" s="19"/>
      <c r="CF883" s="19"/>
      <c r="CG883" s="19"/>
      <c r="CH883" s="19"/>
      <c r="CI883" s="18"/>
      <c r="CJ883" s="18"/>
      <c r="CN883" s="18"/>
      <c r="CO883" s="19"/>
      <c r="CP883" s="19"/>
      <c r="CQ883" s="19"/>
      <c r="CR883" s="19"/>
      <c r="CS883" s="19"/>
      <c r="CT883" s="19"/>
      <c r="CU883" s="20"/>
      <c r="CV883" s="20"/>
      <c r="DA883" s="18">
        <f t="shared" si="139"/>
        <v>0</v>
      </c>
      <c r="DB883" s="19">
        <f t="shared" si="140"/>
        <v>0</v>
      </c>
      <c r="DC883" s="19">
        <f t="shared" si="141"/>
        <v>0</v>
      </c>
      <c r="DD883" s="19">
        <f t="shared" si="142"/>
        <v>0</v>
      </c>
      <c r="DE883" s="19">
        <f t="shared" si="143"/>
        <v>0</v>
      </c>
      <c r="DF883" s="19">
        <f t="shared" si="144"/>
        <v>0</v>
      </c>
      <c r="DG883" s="19">
        <f t="shared" si="145"/>
        <v>0</v>
      </c>
      <c r="DH883" s="20">
        <f t="shared" si="146"/>
        <v>0</v>
      </c>
      <c r="DI883" s="20">
        <f t="shared" si="147"/>
        <v>0</v>
      </c>
    </row>
    <row r="884" spans="80:113" x14ac:dyDescent="0.3">
      <c r="CB884" s="18"/>
      <c r="CC884" s="19"/>
      <c r="CD884" s="19"/>
      <c r="CE884" s="19"/>
      <c r="CF884" s="19"/>
      <c r="CG884" s="19"/>
      <c r="CH884" s="19"/>
      <c r="CI884" s="18"/>
      <c r="CJ884" s="18"/>
      <c r="CN884" s="18"/>
      <c r="CO884" s="19"/>
      <c r="CP884" s="19"/>
      <c r="CQ884" s="19"/>
      <c r="CR884" s="19"/>
      <c r="CS884" s="19"/>
      <c r="CT884" s="19"/>
      <c r="CU884" s="20"/>
      <c r="CV884" s="20"/>
      <c r="DA884" s="18">
        <f t="shared" si="139"/>
        <v>0</v>
      </c>
      <c r="DB884" s="19">
        <f t="shared" si="140"/>
        <v>0</v>
      </c>
      <c r="DC884" s="19">
        <f t="shared" si="141"/>
        <v>0</v>
      </c>
      <c r="DD884" s="19">
        <f t="shared" si="142"/>
        <v>0</v>
      </c>
      <c r="DE884" s="19">
        <f t="shared" si="143"/>
        <v>0</v>
      </c>
      <c r="DF884" s="19">
        <f t="shared" si="144"/>
        <v>0</v>
      </c>
      <c r="DG884" s="19">
        <f t="shared" si="145"/>
        <v>0</v>
      </c>
      <c r="DH884" s="20">
        <f t="shared" si="146"/>
        <v>0</v>
      </c>
      <c r="DI884" s="20">
        <f t="shared" si="147"/>
        <v>0</v>
      </c>
    </row>
    <row r="885" spans="80:113" x14ac:dyDescent="0.3">
      <c r="CB885" s="18"/>
      <c r="CC885" s="19"/>
      <c r="CD885" s="19"/>
      <c r="CE885" s="19"/>
      <c r="CF885" s="19"/>
      <c r="CG885" s="19"/>
      <c r="CH885" s="19"/>
      <c r="CI885" s="18"/>
      <c r="CJ885" s="18"/>
      <c r="CN885" s="18"/>
      <c r="CO885" s="19"/>
      <c r="CP885" s="19"/>
      <c r="CQ885" s="19"/>
      <c r="CR885" s="19"/>
      <c r="CS885" s="19"/>
      <c r="CT885" s="19"/>
      <c r="CU885" s="20"/>
      <c r="CV885" s="20"/>
      <c r="DA885" s="18">
        <f t="shared" si="139"/>
        <v>0</v>
      </c>
      <c r="DB885" s="19">
        <f t="shared" si="140"/>
        <v>0</v>
      </c>
      <c r="DC885" s="19">
        <f t="shared" si="141"/>
        <v>0</v>
      </c>
      <c r="DD885" s="19">
        <f t="shared" si="142"/>
        <v>0</v>
      </c>
      <c r="DE885" s="19">
        <f t="shared" si="143"/>
        <v>0</v>
      </c>
      <c r="DF885" s="19">
        <f t="shared" si="144"/>
        <v>0</v>
      </c>
      <c r="DG885" s="19">
        <f t="shared" si="145"/>
        <v>0</v>
      </c>
      <c r="DH885" s="20">
        <f t="shared" si="146"/>
        <v>0</v>
      </c>
      <c r="DI885" s="20">
        <f t="shared" si="147"/>
        <v>0</v>
      </c>
    </row>
    <row r="886" spans="80:113" x14ac:dyDescent="0.3">
      <c r="CB886" s="18"/>
      <c r="CC886" s="19"/>
      <c r="CD886" s="19"/>
      <c r="CE886" s="19"/>
      <c r="CF886" s="19"/>
      <c r="CG886" s="19"/>
      <c r="CH886" s="19"/>
      <c r="CI886" s="18"/>
      <c r="CJ886" s="18"/>
      <c r="CN886" s="18"/>
      <c r="CO886" s="19"/>
      <c r="CP886" s="19"/>
      <c r="CQ886" s="19"/>
      <c r="CR886" s="19"/>
      <c r="CS886" s="19"/>
      <c r="CT886" s="19"/>
      <c r="CU886" s="20"/>
      <c r="CV886" s="20"/>
      <c r="DA886" s="18">
        <f t="shared" si="139"/>
        <v>0</v>
      </c>
      <c r="DB886" s="19">
        <f t="shared" si="140"/>
        <v>0</v>
      </c>
      <c r="DC886" s="19">
        <f t="shared" si="141"/>
        <v>0</v>
      </c>
      <c r="DD886" s="19">
        <f t="shared" si="142"/>
        <v>0</v>
      </c>
      <c r="DE886" s="19">
        <f t="shared" si="143"/>
        <v>0</v>
      </c>
      <c r="DF886" s="19">
        <f t="shared" si="144"/>
        <v>0</v>
      </c>
      <c r="DG886" s="19">
        <f t="shared" si="145"/>
        <v>0</v>
      </c>
      <c r="DH886" s="20">
        <f t="shared" si="146"/>
        <v>0</v>
      </c>
      <c r="DI886" s="20">
        <f t="shared" si="147"/>
        <v>0</v>
      </c>
    </row>
    <row r="887" spans="80:113" x14ac:dyDescent="0.3">
      <c r="CB887" s="18"/>
      <c r="CC887" s="19"/>
      <c r="CD887" s="19"/>
      <c r="CE887" s="19"/>
      <c r="CF887" s="19"/>
      <c r="CG887" s="19"/>
      <c r="CH887" s="19"/>
      <c r="CI887" s="18"/>
      <c r="CJ887" s="18"/>
      <c r="CN887" s="18"/>
      <c r="CO887" s="19"/>
      <c r="CP887" s="19"/>
      <c r="CQ887" s="19"/>
      <c r="CR887" s="19"/>
      <c r="CS887" s="19"/>
      <c r="CT887" s="19"/>
      <c r="CU887" s="20"/>
      <c r="CV887" s="20"/>
      <c r="DA887" s="18">
        <f t="shared" si="139"/>
        <v>0</v>
      </c>
      <c r="DB887" s="19">
        <f t="shared" si="140"/>
        <v>0</v>
      </c>
      <c r="DC887" s="19">
        <f t="shared" si="141"/>
        <v>0</v>
      </c>
      <c r="DD887" s="19">
        <f t="shared" si="142"/>
        <v>0</v>
      </c>
      <c r="DE887" s="19">
        <f t="shared" si="143"/>
        <v>0</v>
      </c>
      <c r="DF887" s="19">
        <f t="shared" si="144"/>
        <v>0</v>
      </c>
      <c r="DG887" s="19">
        <f t="shared" si="145"/>
        <v>0</v>
      </c>
      <c r="DH887" s="20">
        <f t="shared" si="146"/>
        <v>0</v>
      </c>
      <c r="DI887" s="20">
        <f t="shared" si="147"/>
        <v>0</v>
      </c>
    </row>
    <row r="888" spans="80:113" x14ac:dyDescent="0.3">
      <c r="CB888" s="18"/>
      <c r="CC888" s="19"/>
      <c r="CD888" s="19"/>
      <c r="CE888" s="19"/>
      <c r="CF888" s="19"/>
      <c r="CG888" s="19"/>
      <c r="CH888" s="19"/>
      <c r="CI888" s="18"/>
      <c r="CJ888" s="18"/>
      <c r="CN888" s="18"/>
      <c r="CO888" s="19"/>
      <c r="CP888" s="19"/>
      <c r="CQ888" s="19"/>
      <c r="CR888" s="19"/>
      <c r="CS888" s="19"/>
      <c r="CT888" s="19"/>
      <c r="CU888" s="20"/>
      <c r="CV888" s="20"/>
      <c r="DA888" s="18">
        <f t="shared" si="139"/>
        <v>0</v>
      </c>
      <c r="DB888" s="19">
        <f t="shared" si="140"/>
        <v>0</v>
      </c>
      <c r="DC888" s="19">
        <f t="shared" si="141"/>
        <v>0</v>
      </c>
      <c r="DD888" s="19">
        <f t="shared" si="142"/>
        <v>0</v>
      </c>
      <c r="DE888" s="19">
        <f t="shared" si="143"/>
        <v>0</v>
      </c>
      <c r="DF888" s="19">
        <f t="shared" si="144"/>
        <v>0</v>
      </c>
      <c r="DG888" s="19">
        <f t="shared" si="145"/>
        <v>0</v>
      </c>
      <c r="DH888" s="20">
        <f t="shared" si="146"/>
        <v>0</v>
      </c>
      <c r="DI888" s="20">
        <f t="shared" si="147"/>
        <v>0</v>
      </c>
    </row>
    <row r="889" spans="80:113" x14ac:dyDescent="0.3">
      <c r="CB889" s="18"/>
      <c r="CC889" s="19"/>
      <c r="CD889" s="19"/>
      <c r="CE889" s="19"/>
      <c r="CF889" s="19"/>
      <c r="CG889" s="19"/>
      <c r="CH889" s="19"/>
      <c r="CI889" s="18"/>
      <c r="CJ889" s="18"/>
      <c r="CN889" s="18"/>
      <c r="CO889" s="19"/>
      <c r="CP889" s="19"/>
      <c r="CQ889" s="19"/>
      <c r="CR889" s="19"/>
      <c r="CS889" s="19"/>
      <c r="CT889" s="19"/>
      <c r="CU889" s="20"/>
      <c r="CV889" s="20"/>
      <c r="DA889" s="18">
        <f t="shared" si="139"/>
        <v>0</v>
      </c>
      <c r="DB889" s="19">
        <f t="shared" si="140"/>
        <v>0</v>
      </c>
      <c r="DC889" s="19">
        <f t="shared" si="141"/>
        <v>0</v>
      </c>
      <c r="DD889" s="19">
        <f t="shared" si="142"/>
        <v>0</v>
      </c>
      <c r="DE889" s="19">
        <f t="shared" si="143"/>
        <v>0</v>
      </c>
      <c r="DF889" s="19">
        <f t="shared" si="144"/>
        <v>0</v>
      </c>
      <c r="DG889" s="19">
        <f t="shared" si="145"/>
        <v>0</v>
      </c>
      <c r="DH889" s="20">
        <f t="shared" si="146"/>
        <v>0</v>
      </c>
      <c r="DI889" s="20">
        <f t="shared" si="147"/>
        <v>0</v>
      </c>
    </row>
    <row r="890" spans="80:113" x14ac:dyDescent="0.3">
      <c r="CB890" s="18"/>
      <c r="CC890" s="19"/>
      <c r="CD890" s="19"/>
      <c r="CE890" s="19"/>
      <c r="CF890" s="19"/>
      <c r="CG890" s="19"/>
      <c r="CH890" s="19"/>
      <c r="CI890" s="18"/>
      <c r="CJ890" s="18"/>
      <c r="CN890" s="18"/>
      <c r="CO890" s="19"/>
      <c r="CP890" s="19"/>
      <c r="CQ890" s="19"/>
      <c r="CR890" s="19"/>
      <c r="CS890" s="19"/>
      <c r="CT890" s="19"/>
      <c r="CU890" s="20"/>
      <c r="CV890" s="20"/>
      <c r="DA890" s="18">
        <f t="shared" si="139"/>
        <v>0</v>
      </c>
      <c r="DB890" s="19">
        <f t="shared" si="140"/>
        <v>0</v>
      </c>
      <c r="DC890" s="19">
        <f t="shared" si="141"/>
        <v>0</v>
      </c>
      <c r="DD890" s="19">
        <f t="shared" si="142"/>
        <v>0</v>
      </c>
      <c r="DE890" s="19">
        <f t="shared" si="143"/>
        <v>0</v>
      </c>
      <c r="DF890" s="19">
        <f t="shared" si="144"/>
        <v>0</v>
      </c>
      <c r="DG890" s="19">
        <f t="shared" si="145"/>
        <v>0</v>
      </c>
      <c r="DH890" s="20">
        <f t="shared" si="146"/>
        <v>0</v>
      </c>
      <c r="DI890" s="20">
        <f t="shared" si="147"/>
        <v>0</v>
      </c>
    </row>
    <row r="891" spans="80:113" x14ac:dyDescent="0.3">
      <c r="CB891" s="18"/>
      <c r="CC891" s="19"/>
      <c r="CD891" s="19"/>
      <c r="CE891" s="19"/>
      <c r="CF891" s="19"/>
      <c r="CG891" s="19"/>
      <c r="CH891" s="19"/>
      <c r="CI891" s="18"/>
      <c r="CJ891" s="18"/>
      <c r="CN891" s="18"/>
      <c r="CO891" s="19"/>
      <c r="CP891" s="19"/>
      <c r="CQ891" s="19"/>
      <c r="CR891" s="19"/>
      <c r="CS891" s="19"/>
      <c r="CT891" s="19"/>
      <c r="CU891" s="20"/>
      <c r="CV891" s="20"/>
      <c r="DA891" s="18">
        <f t="shared" si="139"/>
        <v>0</v>
      </c>
      <c r="DB891" s="19">
        <f t="shared" si="140"/>
        <v>0</v>
      </c>
      <c r="DC891" s="19">
        <f t="shared" si="141"/>
        <v>0</v>
      </c>
      <c r="DD891" s="19">
        <f t="shared" si="142"/>
        <v>0</v>
      </c>
      <c r="DE891" s="19">
        <f t="shared" si="143"/>
        <v>0</v>
      </c>
      <c r="DF891" s="19">
        <f t="shared" si="144"/>
        <v>0</v>
      </c>
      <c r="DG891" s="19">
        <f t="shared" si="145"/>
        <v>0</v>
      </c>
      <c r="DH891" s="20">
        <f t="shared" si="146"/>
        <v>0</v>
      </c>
      <c r="DI891" s="20">
        <f t="shared" si="147"/>
        <v>0</v>
      </c>
    </row>
    <row r="892" spans="80:113" x14ac:dyDescent="0.3">
      <c r="CB892" s="18"/>
      <c r="CC892" s="19"/>
      <c r="CD892" s="19"/>
      <c r="CE892" s="19"/>
      <c r="CF892" s="19"/>
      <c r="CG892" s="19"/>
      <c r="CH892" s="19"/>
      <c r="CI892" s="18"/>
      <c r="CJ892" s="18"/>
      <c r="CN892" s="18"/>
      <c r="CO892" s="19"/>
      <c r="CP892" s="19"/>
      <c r="CQ892" s="19"/>
      <c r="CR892" s="19"/>
      <c r="CS892" s="19"/>
      <c r="CT892" s="19"/>
      <c r="CU892" s="20"/>
      <c r="CV892" s="20"/>
      <c r="DA892" s="18">
        <f t="shared" si="139"/>
        <v>0</v>
      </c>
      <c r="DB892" s="19">
        <f t="shared" si="140"/>
        <v>0</v>
      </c>
      <c r="DC892" s="19">
        <f t="shared" si="141"/>
        <v>0</v>
      </c>
      <c r="DD892" s="19">
        <f t="shared" si="142"/>
        <v>0</v>
      </c>
      <c r="DE892" s="19">
        <f t="shared" si="143"/>
        <v>0</v>
      </c>
      <c r="DF892" s="19">
        <f t="shared" si="144"/>
        <v>0</v>
      </c>
      <c r="DG892" s="19">
        <f t="shared" si="145"/>
        <v>0</v>
      </c>
      <c r="DH892" s="20">
        <f t="shared" si="146"/>
        <v>0</v>
      </c>
      <c r="DI892" s="20">
        <f t="shared" si="147"/>
        <v>0</v>
      </c>
    </row>
    <row r="893" spans="80:113" x14ac:dyDescent="0.3">
      <c r="CB893" s="18"/>
      <c r="CC893" s="19"/>
      <c r="CD893" s="19"/>
      <c r="CE893" s="19"/>
      <c r="CF893" s="19"/>
      <c r="CG893" s="19"/>
      <c r="CH893" s="19"/>
      <c r="CI893" s="18"/>
      <c r="CJ893" s="18"/>
      <c r="CN893" s="18"/>
      <c r="CO893" s="19"/>
      <c r="CP893" s="19"/>
      <c r="CQ893" s="19"/>
      <c r="CR893" s="19"/>
      <c r="CS893" s="19"/>
      <c r="CT893" s="19"/>
      <c r="CU893" s="20"/>
      <c r="CV893" s="20"/>
      <c r="DA893" s="18">
        <f t="shared" si="139"/>
        <v>0</v>
      </c>
      <c r="DB893" s="19">
        <f t="shared" si="140"/>
        <v>0</v>
      </c>
      <c r="DC893" s="19">
        <f t="shared" si="141"/>
        <v>0</v>
      </c>
      <c r="DD893" s="19">
        <f t="shared" si="142"/>
        <v>0</v>
      </c>
      <c r="DE893" s="19">
        <f t="shared" si="143"/>
        <v>0</v>
      </c>
      <c r="DF893" s="19">
        <f t="shared" si="144"/>
        <v>0</v>
      </c>
      <c r="DG893" s="19">
        <f t="shared" si="145"/>
        <v>0</v>
      </c>
      <c r="DH893" s="20">
        <f t="shared" si="146"/>
        <v>0</v>
      </c>
      <c r="DI893" s="20">
        <f t="shared" si="147"/>
        <v>0</v>
      </c>
    </row>
    <row r="894" spans="80:113" x14ac:dyDescent="0.3">
      <c r="CB894" s="18"/>
      <c r="CC894" s="19"/>
      <c r="CD894" s="19"/>
      <c r="CE894" s="19"/>
      <c r="CF894" s="19"/>
      <c r="CG894" s="19"/>
      <c r="CH894" s="19"/>
      <c r="CI894" s="18"/>
      <c r="CJ894" s="18"/>
      <c r="CN894" s="18"/>
      <c r="CO894" s="19"/>
      <c r="CP894" s="19"/>
      <c r="CQ894" s="19"/>
      <c r="CR894" s="19"/>
      <c r="CS894" s="19"/>
      <c r="CT894" s="19"/>
      <c r="CU894" s="20"/>
      <c r="CV894" s="20"/>
      <c r="DA894" s="18">
        <f t="shared" si="139"/>
        <v>0</v>
      </c>
      <c r="DB894" s="19">
        <f t="shared" si="140"/>
        <v>0</v>
      </c>
      <c r="DC894" s="19">
        <f t="shared" si="141"/>
        <v>0</v>
      </c>
      <c r="DD894" s="19">
        <f t="shared" si="142"/>
        <v>0</v>
      </c>
      <c r="DE894" s="19">
        <f t="shared" si="143"/>
        <v>0</v>
      </c>
      <c r="DF894" s="19">
        <f t="shared" si="144"/>
        <v>0</v>
      </c>
      <c r="DG894" s="19">
        <f t="shared" si="145"/>
        <v>0</v>
      </c>
      <c r="DH894" s="20">
        <f t="shared" si="146"/>
        <v>0</v>
      </c>
      <c r="DI894" s="20">
        <f t="shared" si="147"/>
        <v>0</v>
      </c>
    </row>
    <row r="895" spans="80:113" x14ac:dyDescent="0.3">
      <c r="CB895" s="18"/>
      <c r="CC895" s="19"/>
      <c r="CD895" s="19"/>
      <c r="CE895" s="19"/>
      <c r="CF895" s="19"/>
      <c r="CG895" s="19"/>
      <c r="CH895" s="19"/>
      <c r="CI895" s="18"/>
      <c r="CJ895" s="18"/>
      <c r="CN895" s="18"/>
      <c r="CO895" s="19"/>
      <c r="CP895" s="19"/>
      <c r="CQ895" s="19"/>
      <c r="CR895" s="19"/>
      <c r="CS895" s="19"/>
      <c r="CT895" s="19"/>
      <c r="CU895" s="20"/>
      <c r="CV895" s="20"/>
      <c r="DA895" s="18">
        <f t="shared" si="139"/>
        <v>0</v>
      </c>
      <c r="DB895" s="19">
        <f t="shared" si="140"/>
        <v>0</v>
      </c>
      <c r="DC895" s="19">
        <f t="shared" si="141"/>
        <v>0</v>
      </c>
      <c r="DD895" s="19">
        <f t="shared" si="142"/>
        <v>0</v>
      </c>
      <c r="DE895" s="19">
        <f t="shared" si="143"/>
        <v>0</v>
      </c>
      <c r="DF895" s="19">
        <f t="shared" si="144"/>
        <v>0</v>
      </c>
      <c r="DG895" s="19">
        <f t="shared" si="145"/>
        <v>0</v>
      </c>
      <c r="DH895" s="20">
        <f t="shared" si="146"/>
        <v>0</v>
      </c>
      <c r="DI895" s="20">
        <f t="shared" si="147"/>
        <v>0</v>
      </c>
    </row>
    <row r="896" spans="80:113" x14ac:dyDescent="0.3">
      <c r="CB896" s="18"/>
      <c r="CC896" s="19"/>
      <c r="CD896" s="19"/>
      <c r="CE896" s="19"/>
      <c r="CF896" s="19"/>
      <c r="CG896" s="19"/>
      <c r="CH896" s="19"/>
      <c r="CI896" s="18"/>
      <c r="CJ896" s="18"/>
      <c r="CN896" s="18"/>
      <c r="CO896" s="19"/>
      <c r="CP896" s="19"/>
      <c r="CQ896" s="19"/>
      <c r="CR896" s="19"/>
      <c r="CS896" s="19"/>
      <c r="CT896" s="19"/>
      <c r="CU896" s="20"/>
      <c r="CV896" s="20"/>
      <c r="DA896" s="18">
        <f t="shared" si="139"/>
        <v>0</v>
      </c>
      <c r="DB896" s="19">
        <f t="shared" si="140"/>
        <v>0</v>
      </c>
      <c r="DC896" s="19">
        <f t="shared" si="141"/>
        <v>0</v>
      </c>
      <c r="DD896" s="19">
        <f t="shared" si="142"/>
        <v>0</v>
      </c>
      <c r="DE896" s="19">
        <f t="shared" si="143"/>
        <v>0</v>
      </c>
      <c r="DF896" s="19">
        <f t="shared" si="144"/>
        <v>0</v>
      </c>
      <c r="DG896" s="19">
        <f t="shared" si="145"/>
        <v>0</v>
      </c>
      <c r="DH896" s="20">
        <f t="shared" si="146"/>
        <v>0</v>
      </c>
      <c r="DI896" s="20">
        <f t="shared" si="147"/>
        <v>0</v>
      </c>
    </row>
    <row r="897" spans="80:113" x14ac:dyDescent="0.3">
      <c r="CB897" s="18"/>
      <c r="CC897" s="19"/>
      <c r="CD897" s="19"/>
      <c r="CE897" s="19"/>
      <c r="CF897" s="19"/>
      <c r="CG897" s="19"/>
      <c r="CH897" s="19"/>
      <c r="CI897" s="18"/>
      <c r="CJ897" s="18"/>
      <c r="CN897" s="18"/>
      <c r="CO897" s="19"/>
      <c r="CP897" s="19"/>
      <c r="CQ897" s="19"/>
      <c r="CR897" s="19"/>
      <c r="CS897" s="19"/>
      <c r="CT897" s="19"/>
      <c r="CU897" s="20"/>
      <c r="CV897" s="20"/>
      <c r="DA897" s="18">
        <f t="shared" si="139"/>
        <v>0</v>
      </c>
      <c r="DB897" s="19">
        <f t="shared" si="140"/>
        <v>0</v>
      </c>
      <c r="DC897" s="19">
        <f t="shared" si="141"/>
        <v>0</v>
      </c>
      <c r="DD897" s="19">
        <f t="shared" si="142"/>
        <v>0</v>
      </c>
      <c r="DE897" s="19">
        <f t="shared" si="143"/>
        <v>0</v>
      </c>
      <c r="DF897" s="19">
        <f t="shared" si="144"/>
        <v>0</v>
      </c>
      <c r="DG897" s="19">
        <f t="shared" si="145"/>
        <v>0</v>
      </c>
      <c r="DH897" s="20">
        <f t="shared" si="146"/>
        <v>0</v>
      </c>
      <c r="DI897" s="20">
        <f t="shared" si="147"/>
        <v>0</v>
      </c>
    </row>
    <row r="898" spans="80:113" x14ac:dyDescent="0.3">
      <c r="CB898" s="18"/>
      <c r="CC898" s="19"/>
      <c r="CD898" s="19"/>
      <c r="CE898" s="19"/>
      <c r="CF898" s="19"/>
      <c r="CG898" s="19"/>
      <c r="CH898" s="19"/>
      <c r="CI898" s="18"/>
      <c r="CJ898" s="18"/>
      <c r="CN898" s="18"/>
      <c r="CO898" s="19"/>
      <c r="CP898" s="19"/>
      <c r="CQ898" s="19"/>
      <c r="CR898" s="19"/>
      <c r="CS898" s="19"/>
      <c r="CT898" s="19"/>
      <c r="CU898" s="20"/>
      <c r="CV898" s="20"/>
      <c r="DA898" s="18">
        <f t="shared" si="139"/>
        <v>0</v>
      </c>
      <c r="DB898" s="19">
        <f t="shared" si="140"/>
        <v>0</v>
      </c>
      <c r="DC898" s="19">
        <f t="shared" si="141"/>
        <v>0</v>
      </c>
      <c r="DD898" s="19">
        <f t="shared" si="142"/>
        <v>0</v>
      </c>
      <c r="DE898" s="19">
        <f t="shared" si="143"/>
        <v>0</v>
      </c>
      <c r="DF898" s="19">
        <f t="shared" si="144"/>
        <v>0</v>
      </c>
      <c r="DG898" s="19">
        <f t="shared" si="145"/>
        <v>0</v>
      </c>
      <c r="DH898" s="20">
        <f t="shared" si="146"/>
        <v>0</v>
      </c>
      <c r="DI898" s="20">
        <f t="shared" si="147"/>
        <v>0</v>
      </c>
    </row>
    <row r="899" spans="80:113" x14ac:dyDescent="0.3">
      <c r="CB899" s="18"/>
      <c r="CC899" s="19"/>
      <c r="CD899" s="19"/>
      <c r="CE899" s="19"/>
      <c r="CF899" s="19"/>
      <c r="CG899" s="19"/>
      <c r="CH899" s="19"/>
      <c r="CI899" s="18"/>
      <c r="CJ899" s="18"/>
      <c r="CN899" s="18"/>
      <c r="CO899" s="19"/>
      <c r="CP899" s="19"/>
      <c r="CQ899" s="19"/>
      <c r="CR899" s="19"/>
      <c r="CS899" s="19"/>
      <c r="CT899" s="19"/>
      <c r="CU899" s="20"/>
      <c r="CV899" s="20"/>
      <c r="DA899" s="18">
        <f t="shared" ref="DA899:DA962" si="148">IF($BZ$2=1,CN899,CB899)</f>
        <v>0</v>
      </c>
      <c r="DB899" s="19">
        <f t="shared" ref="DB899:DB962" si="149">IF($BZ$2=1,CO899,CC899)</f>
        <v>0</v>
      </c>
      <c r="DC899" s="19">
        <f t="shared" ref="DC899:DC962" si="150">IF($BZ$2=1,CP899,CD899)</f>
        <v>0</v>
      </c>
      <c r="DD899" s="19">
        <f t="shared" ref="DD899:DD962" si="151">IF($BZ$2=1,CQ899,CE899)</f>
        <v>0</v>
      </c>
      <c r="DE899" s="19">
        <f t="shared" ref="DE899:DE962" si="152">IF($BZ$2=1,CR899,CF899)</f>
        <v>0</v>
      </c>
      <c r="DF899" s="19">
        <f t="shared" ref="DF899:DF962" si="153">IF($BZ$2=1,CS899,CG899)</f>
        <v>0</v>
      </c>
      <c r="DG899" s="19">
        <f t="shared" ref="DG899:DG962" si="154">IF($BZ$2=1,CT899,CH899)</f>
        <v>0</v>
      </c>
      <c r="DH899" s="20">
        <f t="shared" ref="DH899:DH962" si="155">IF($BZ$2=1,CU899,CI899)</f>
        <v>0</v>
      </c>
      <c r="DI899" s="20">
        <f t="shared" ref="DI899:DI962" si="156">IF($BZ$2=1,CV899,CJ899)</f>
        <v>0</v>
      </c>
    </row>
    <row r="900" spans="80:113" x14ac:dyDescent="0.3">
      <c r="CB900" s="18"/>
      <c r="CC900" s="19"/>
      <c r="CD900" s="19"/>
      <c r="CE900" s="19"/>
      <c r="CF900" s="19"/>
      <c r="CG900" s="19"/>
      <c r="CH900" s="19"/>
      <c r="CI900" s="18"/>
      <c r="CJ900" s="18"/>
      <c r="CN900" s="18"/>
      <c r="CO900" s="19"/>
      <c r="CP900" s="19"/>
      <c r="CQ900" s="19"/>
      <c r="CR900" s="19"/>
      <c r="CS900" s="19"/>
      <c r="CT900" s="19"/>
      <c r="CU900" s="20"/>
      <c r="CV900" s="20"/>
      <c r="DA900" s="18">
        <f t="shared" si="148"/>
        <v>0</v>
      </c>
      <c r="DB900" s="19">
        <f t="shared" si="149"/>
        <v>0</v>
      </c>
      <c r="DC900" s="19">
        <f t="shared" si="150"/>
        <v>0</v>
      </c>
      <c r="DD900" s="19">
        <f t="shared" si="151"/>
        <v>0</v>
      </c>
      <c r="DE900" s="19">
        <f t="shared" si="152"/>
        <v>0</v>
      </c>
      <c r="DF900" s="19">
        <f t="shared" si="153"/>
        <v>0</v>
      </c>
      <c r="DG900" s="19">
        <f t="shared" si="154"/>
        <v>0</v>
      </c>
      <c r="DH900" s="20">
        <f t="shared" si="155"/>
        <v>0</v>
      </c>
      <c r="DI900" s="20">
        <f t="shared" si="156"/>
        <v>0</v>
      </c>
    </row>
    <row r="901" spans="80:113" x14ac:dyDescent="0.3">
      <c r="CB901" s="18"/>
      <c r="CC901" s="19"/>
      <c r="CD901" s="19"/>
      <c r="CE901" s="19"/>
      <c r="CF901" s="19"/>
      <c r="CG901" s="19"/>
      <c r="CH901" s="19"/>
      <c r="CI901" s="18"/>
      <c r="CJ901" s="18"/>
      <c r="CN901" s="18"/>
      <c r="CO901" s="19"/>
      <c r="CP901" s="19"/>
      <c r="CQ901" s="19"/>
      <c r="CR901" s="19"/>
      <c r="CS901" s="19"/>
      <c r="CT901" s="19"/>
      <c r="CU901" s="20"/>
      <c r="CV901" s="20"/>
      <c r="DA901" s="18">
        <f t="shared" si="148"/>
        <v>0</v>
      </c>
      <c r="DB901" s="19">
        <f t="shared" si="149"/>
        <v>0</v>
      </c>
      <c r="DC901" s="19">
        <f t="shared" si="150"/>
        <v>0</v>
      </c>
      <c r="DD901" s="19">
        <f t="shared" si="151"/>
        <v>0</v>
      </c>
      <c r="DE901" s="19">
        <f t="shared" si="152"/>
        <v>0</v>
      </c>
      <c r="DF901" s="19">
        <f t="shared" si="153"/>
        <v>0</v>
      </c>
      <c r="DG901" s="19">
        <f t="shared" si="154"/>
        <v>0</v>
      </c>
      <c r="DH901" s="20">
        <f t="shared" si="155"/>
        <v>0</v>
      </c>
      <c r="DI901" s="20">
        <f t="shared" si="156"/>
        <v>0</v>
      </c>
    </row>
    <row r="902" spans="80:113" x14ac:dyDescent="0.3">
      <c r="CB902" s="18"/>
      <c r="CC902" s="19"/>
      <c r="CD902" s="19"/>
      <c r="CE902" s="19"/>
      <c r="CF902" s="19"/>
      <c r="CG902" s="19"/>
      <c r="CH902" s="19"/>
      <c r="CI902" s="18"/>
      <c r="CJ902" s="18"/>
      <c r="CN902" s="18"/>
      <c r="CO902" s="19"/>
      <c r="CP902" s="19"/>
      <c r="CQ902" s="19"/>
      <c r="CR902" s="19"/>
      <c r="CS902" s="19"/>
      <c r="CT902" s="19"/>
      <c r="CU902" s="20"/>
      <c r="CV902" s="20"/>
      <c r="DA902" s="18">
        <f t="shared" si="148"/>
        <v>0</v>
      </c>
      <c r="DB902" s="19">
        <f t="shared" si="149"/>
        <v>0</v>
      </c>
      <c r="DC902" s="19">
        <f t="shared" si="150"/>
        <v>0</v>
      </c>
      <c r="DD902" s="19">
        <f t="shared" si="151"/>
        <v>0</v>
      </c>
      <c r="DE902" s="19">
        <f t="shared" si="152"/>
        <v>0</v>
      </c>
      <c r="DF902" s="19">
        <f t="shared" si="153"/>
        <v>0</v>
      </c>
      <c r="DG902" s="19">
        <f t="shared" si="154"/>
        <v>0</v>
      </c>
      <c r="DH902" s="20">
        <f t="shared" si="155"/>
        <v>0</v>
      </c>
      <c r="DI902" s="20">
        <f t="shared" si="156"/>
        <v>0</v>
      </c>
    </row>
    <row r="903" spans="80:113" x14ac:dyDescent="0.3">
      <c r="CB903" s="18"/>
      <c r="CC903" s="19"/>
      <c r="CD903" s="19"/>
      <c r="CE903" s="19"/>
      <c r="CF903" s="19"/>
      <c r="CG903" s="19"/>
      <c r="CH903" s="19"/>
      <c r="CI903" s="18"/>
      <c r="CJ903" s="18"/>
      <c r="CN903" s="18"/>
      <c r="CO903" s="19"/>
      <c r="CP903" s="19"/>
      <c r="CQ903" s="19"/>
      <c r="CR903" s="19"/>
      <c r="CS903" s="19"/>
      <c r="CT903" s="19"/>
      <c r="CU903" s="20"/>
      <c r="CV903" s="20"/>
      <c r="DA903" s="18">
        <f t="shared" si="148"/>
        <v>0</v>
      </c>
      <c r="DB903" s="19">
        <f t="shared" si="149"/>
        <v>0</v>
      </c>
      <c r="DC903" s="19">
        <f t="shared" si="150"/>
        <v>0</v>
      </c>
      <c r="DD903" s="19">
        <f t="shared" si="151"/>
        <v>0</v>
      </c>
      <c r="DE903" s="19">
        <f t="shared" si="152"/>
        <v>0</v>
      </c>
      <c r="DF903" s="19">
        <f t="shared" si="153"/>
        <v>0</v>
      </c>
      <c r="DG903" s="19">
        <f t="shared" si="154"/>
        <v>0</v>
      </c>
      <c r="DH903" s="20">
        <f t="shared" si="155"/>
        <v>0</v>
      </c>
      <c r="DI903" s="20">
        <f t="shared" si="156"/>
        <v>0</v>
      </c>
    </row>
    <row r="904" spans="80:113" x14ac:dyDescent="0.3">
      <c r="CB904" s="18"/>
      <c r="CC904" s="19"/>
      <c r="CD904" s="19"/>
      <c r="CE904" s="19"/>
      <c r="CF904" s="19"/>
      <c r="CG904" s="19"/>
      <c r="CH904" s="19"/>
      <c r="CI904" s="18"/>
      <c r="CJ904" s="18"/>
      <c r="CN904" s="18"/>
      <c r="CO904" s="19"/>
      <c r="CP904" s="19"/>
      <c r="CQ904" s="19"/>
      <c r="CR904" s="19"/>
      <c r="CS904" s="19"/>
      <c r="CT904" s="19"/>
      <c r="CU904" s="20"/>
      <c r="CV904" s="20"/>
      <c r="DA904" s="18">
        <f t="shared" si="148"/>
        <v>0</v>
      </c>
      <c r="DB904" s="19">
        <f t="shared" si="149"/>
        <v>0</v>
      </c>
      <c r="DC904" s="19">
        <f t="shared" si="150"/>
        <v>0</v>
      </c>
      <c r="DD904" s="19">
        <f t="shared" si="151"/>
        <v>0</v>
      </c>
      <c r="DE904" s="19">
        <f t="shared" si="152"/>
        <v>0</v>
      </c>
      <c r="DF904" s="19">
        <f t="shared" si="153"/>
        <v>0</v>
      </c>
      <c r="DG904" s="19">
        <f t="shared" si="154"/>
        <v>0</v>
      </c>
      <c r="DH904" s="20">
        <f t="shared" si="155"/>
        <v>0</v>
      </c>
      <c r="DI904" s="20">
        <f t="shared" si="156"/>
        <v>0</v>
      </c>
    </row>
    <row r="905" spans="80:113" x14ac:dyDescent="0.3">
      <c r="CB905" s="18"/>
      <c r="CC905" s="19"/>
      <c r="CD905" s="19"/>
      <c r="CE905" s="19"/>
      <c r="CF905" s="19"/>
      <c r="CG905" s="19"/>
      <c r="CH905" s="19"/>
      <c r="CI905" s="18"/>
      <c r="CJ905" s="18"/>
      <c r="CN905" s="18"/>
      <c r="CO905" s="19"/>
      <c r="CP905" s="19"/>
      <c r="CQ905" s="19"/>
      <c r="CR905" s="19"/>
      <c r="CS905" s="19"/>
      <c r="CT905" s="19"/>
      <c r="CU905" s="20"/>
      <c r="CV905" s="20"/>
      <c r="DA905" s="18">
        <f t="shared" si="148"/>
        <v>0</v>
      </c>
      <c r="DB905" s="19">
        <f t="shared" si="149"/>
        <v>0</v>
      </c>
      <c r="DC905" s="19">
        <f t="shared" si="150"/>
        <v>0</v>
      </c>
      <c r="DD905" s="19">
        <f t="shared" si="151"/>
        <v>0</v>
      </c>
      <c r="DE905" s="19">
        <f t="shared" si="152"/>
        <v>0</v>
      </c>
      <c r="DF905" s="19">
        <f t="shared" si="153"/>
        <v>0</v>
      </c>
      <c r="DG905" s="19">
        <f t="shared" si="154"/>
        <v>0</v>
      </c>
      <c r="DH905" s="20">
        <f t="shared" si="155"/>
        <v>0</v>
      </c>
      <c r="DI905" s="20">
        <f t="shared" si="156"/>
        <v>0</v>
      </c>
    </row>
    <row r="906" spans="80:113" x14ac:dyDescent="0.3">
      <c r="CB906" s="18"/>
      <c r="CC906" s="19"/>
      <c r="CD906" s="19"/>
      <c r="CE906" s="19"/>
      <c r="CF906" s="19"/>
      <c r="CG906" s="19"/>
      <c r="CH906" s="19"/>
      <c r="CI906" s="18"/>
      <c r="CJ906" s="18"/>
      <c r="CN906" s="18"/>
      <c r="CO906" s="19"/>
      <c r="CP906" s="19"/>
      <c r="CQ906" s="19"/>
      <c r="CR906" s="19"/>
      <c r="CS906" s="19"/>
      <c r="CT906" s="19"/>
      <c r="CU906" s="20"/>
      <c r="CV906" s="20"/>
      <c r="DA906" s="18">
        <f t="shared" si="148"/>
        <v>0</v>
      </c>
      <c r="DB906" s="19">
        <f t="shared" si="149"/>
        <v>0</v>
      </c>
      <c r="DC906" s="19">
        <f t="shared" si="150"/>
        <v>0</v>
      </c>
      <c r="DD906" s="19">
        <f t="shared" si="151"/>
        <v>0</v>
      </c>
      <c r="DE906" s="19">
        <f t="shared" si="152"/>
        <v>0</v>
      </c>
      <c r="DF906" s="19">
        <f t="shared" si="153"/>
        <v>0</v>
      </c>
      <c r="DG906" s="19">
        <f t="shared" si="154"/>
        <v>0</v>
      </c>
      <c r="DH906" s="20">
        <f t="shared" si="155"/>
        <v>0</v>
      </c>
      <c r="DI906" s="20">
        <f t="shared" si="156"/>
        <v>0</v>
      </c>
    </row>
    <row r="907" spans="80:113" x14ac:dyDescent="0.3">
      <c r="CB907" s="18"/>
      <c r="CC907" s="19"/>
      <c r="CD907" s="19"/>
      <c r="CE907" s="19"/>
      <c r="CF907" s="19"/>
      <c r="CG907" s="19"/>
      <c r="CH907" s="19"/>
      <c r="CI907" s="18"/>
      <c r="CJ907" s="18"/>
      <c r="CN907" s="18"/>
      <c r="CO907" s="19"/>
      <c r="CP907" s="19"/>
      <c r="CQ907" s="19"/>
      <c r="CR907" s="19"/>
      <c r="CS907" s="19"/>
      <c r="CT907" s="19"/>
      <c r="CU907" s="20"/>
      <c r="CV907" s="20"/>
      <c r="DA907" s="18">
        <f t="shared" si="148"/>
        <v>0</v>
      </c>
      <c r="DB907" s="19">
        <f t="shared" si="149"/>
        <v>0</v>
      </c>
      <c r="DC907" s="19">
        <f t="shared" si="150"/>
        <v>0</v>
      </c>
      <c r="DD907" s="19">
        <f t="shared" si="151"/>
        <v>0</v>
      </c>
      <c r="DE907" s="19">
        <f t="shared" si="152"/>
        <v>0</v>
      </c>
      <c r="DF907" s="19">
        <f t="shared" si="153"/>
        <v>0</v>
      </c>
      <c r="DG907" s="19">
        <f t="shared" si="154"/>
        <v>0</v>
      </c>
      <c r="DH907" s="20">
        <f t="shared" si="155"/>
        <v>0</v>
      </c>
      <c r="DI907" s="20">
        <f t="shared" si="156"/>
        <v>0</v>
      </c>
    </row>
    <row r="908" spans="80:113" x14ac:dyDescent="0.3">
      <c r="CB908" s="18"/>
      <c r="CC908" s="19"/>
      <c r="CD908" s="19"/>
      <c r="CE908" s="19"/>
      <c r="CF908" s="19"/>
      <c r="CG908" s="19"/>
      <c r="CH908" s="19"/>
      <c r="CI908" s="18"/>
      <c r="CJ908" s="18"/>
      <c r="CN908" s="18"/>
      <c r="CO908" s="19"/>
      <c r="CP908" s="19"/>
      <c r="CQ908" s="19"/>
      <c r="CR908" s="19"/>
      <c r="CS908" s="19"/>
      <c r="CT908" s="19"/>
      <c r="CU908" s="20"/>
      <c r="CV908" s="20"/>
      <c r="DA908" s="18">
        <f t="shared" si="148"/>
        <v>0</v>
      </c>
      <c r="DB908" s="19">
        <f t="shared" si="149"/>
        <v>0</v>
      </c>
      <c r="DC908" s="19">
        <f t="shared" si="150"/>
        <v>0</v>
      </c>
      <c r="DD908" s="19">
        <f t="shared" si="151"/>
        <v>0</v>
      </c>
      <c r="DE908" s="19">
        <f t="shared" si="152"/>
        <v>0</v>
      </c>
      <c r="DF908" s="19">
        <f t="shared" si="153"/>
        <v>0</v>
      </c>
      <c r="DG908" s="19">
        <f t="shared" si="154"/>
        <v>0</v>
      </c>
      <c r="DH908" s="20">
        <f t="shared" si="155"/>
        <v>0</v>
      </c>
      <c r="DI908" s="20">
        <f t="shared" si="156"/>
        <v>0</v>
      </c>
    </row>
    <row r="909" spans="80:113" x14ac:dyDescent="0.3">
      <c r="CB909" s="18"/>
      <c r="CC909" s="19"/>
      <c r="CD909" s="19"/>
      <c r="CE909" s="19"/>
      <c r="CF909" s="19"/>
      <c r="CG909" s="19"/>
      <c r="CH909" s="19"/>
      <c r="CI909" s="18"/>
      <c r="CJ909" s="18"/>
      <c r="CN909" s="18"/>
      <c r="CO909" s="19"/>
      <c r="CP909" s="19"/>
      <c r="CQ909" s="19"/>
      <c r="CR909" s="19"/>
      <c r="CS909" s="19"/>
      <c r="CT909" s="19"/>
      <c r="CU909" s="20"/>
      <c r="CV909" s="20"/>
      <c r="DA909" s="18">
        <f t="shared" si="148"/>
        <v>0</v>
      </c>
      <c r="DB909" s="19">
        <f t="shared" si="149"/>
        <v>0</v>
      </c>
      <c r="DC909" s="19">
        <f t="shared" si="150"/>
        <v>0</v>
      </c>
      <c r="DD909" s="19">
        <f t="shared" si="151"/>
        <v>0</v>
      </c>
      <c r="DE909" s="19">
        <f t="shared" si="152"/>
        <v>0</v>
      </c>
      <c r="DF909" s="19">
        <f t="shared" si="153"/>
        <v>0</v>
      </c>
      <c r="DG909" s="19">
        <f t="shared" si="154"/>
        <v>0</v>
      </c>
      <c r="DH909" s="20">
        <f t="shared" si="155"/>
        <v>0</v>
      </c>
      <c r="DI909" s="20">
        <f t="shared" si="156"/>
        <v>0</v>
      </c>
    </row>
    <row r="910" spans="80:113" x14ac:dyDescent="0.3">
      <c r="CB910" s="18"/>
      <c r="CC910" s="19"/>
      <c r="CD910" s="19"/>
      <c r="CE910" s="19"/>
      <c r="CF910" s="19"/>
      <c r="CG910" s="19"/>
      <c r="CH910" s="19"/>
      <c r="CI910" s="18"/>
      <c r="CJ910" s="18"/>
      <c r="CN910" s="18"/>
      <c r="CO910" s="19"/>
      <c r="CP910" s="19"/>
      <c r="CQ910" s="19"/>
      <c r="CR910" s="19"/>
      <c r="CS910" s="19"/>
      <c r="CT910" s="19"/>
      <c r="CU910" s="20"/>
      <c r="CV910" s="20"/>
      <c r="DA910" s="18">
        <f t="shared" si="148"/>
        <v>0</v>
      </c>
      <c r="DB910" s="19">
        <f t="shared" si="149"/>
        <v>0</v>
      </c>
      <c r="DC910" s="19">
        <f t="shared" si="150"/>
        <v>0</v>
      </c>
      <c r="DD910" s="19">
        <f t="shared" si="151"/>
        <v>0</v>
      </c>
      <c r="DE910" s="19">
        <f t="shared" si="152"/>
        <v>0</v>
      </c>
      <c r="DF910" s="19">
        <f t="shared" si="153"/>
        <v>0</v>
      </c>
      <c r="DG910" s="19">
        <f t="shared" si="154"/>
        <v>0</v>
      </c>
      <c r="DH910" s="20">
        <f t="shared" si="155"/>
        <v>0</v>
      </c>
      <c r="DI910" s="20">
        <f t="shared" si="156"/>
        <v>0</v>
      </c>
    </row>
    <row r="911" spans="80:113" x14ac:dyDescent="0.3">
      <c r="CB911" s="18"/>
      <c r="CC911" s="19"/>
      <c r="CD911" s="19"/>
      <c r="CE911" s="19"/>
      <c r="CF911" s="19"/>
      <c r="CG911" s="19"/>
      <c r="CH911" s="19"/>
      <c r="CI911" s="18"/>
      <c r="CJ911" s="18"/>
      <c r="CN911" s="18"/>
      <c r="CO911" s="19"/>
      <c r="CP911" s="19"/>
      <c r="CQ911" s="19"/>
      <c r="CR911" s="19"/>
      <c r="CS911" s="19"/>
      <c r="CT911" s="19"/>
      <c r="CU911" s="20"/>
      <c r="CV911" s="20"/>
      <c r="DA911" s="18">
        <f t="shared" si="148"/>
        <v>0</v>
      </c>
      <c r="DB911" s="19">
        <f t="shared" si="149"/>
        <v>0</v>
      </c>
      <c r="DC911" s="19">
        <f t="shared" si="150"/>
        <v>0</v>
      </c>
      <c r="DD911" s="19">
        <f t="shared" si="151"/>
        <v>0</v>
      </c>
      <c r="DE911" s="19">
        <f t="shared" si="152"/>
        <v>0</v>
      </c>
      <c r="DF911" s="19">
        <f t="shared" si="153"/>
        <v>0</v>
      </c>
      <c r="DG911" s="19">
        <f t="shared" si="154"/>
        <v>0</v>
      </c>
      <c r="DH911" s="20">
        <f t="shared" si="155"/>
        <v>0</v>
      </c>
      <c r="DI911" s="20">
        <f t="shared" si="156"/>
        <v>0</v>
      </c>
    </row>
    <row r="912" spans="80:113" x14ac:dyDescent="0.3">
      <c r="CB912" s="18"/>
      <c r="CC912" s="19"/>
      <c r="CD912" s="19"/>
      <c r="CE912" s="19"/>
      <c r="CF912" s="19"/>
      <c r="CG912" s="19"/>
      <c r="CH912" s="19"/>
      <c r="CI912" s="18"/>
      <c r="CJ912" s="18"/>
      <c r="CN912" s="18"/>
      <c r="CO912" s="19"/>
      <c r="CP912" s="19"/>
      <c r="CQ912" s="19"/>
      <c r="CR912" s="19"/>
      <c r="CS912" s="19"/>
      <c r="CT912" s="19"/>
      <c r="CU912" s="20"/>
      <c r="CV912" s="20"/>
      <c r="DA912" s="18">
        <f t="shared" si="148"/>
        <v>0</v>
      </c>
      <c r="DB912" s="19">
        <f t="shared" si="149"/>
        <v>0</v>
      </c>
      <c r="DC912" s="19">
        <f t="shared" si="150"/>
        <v>0</v>
      </c>
      <c r="DD912" s="19">
        <f t="shared" si="151"/>
        <v>0</v>
      </c>
      <c r="DE912" s="19">
        <f t="shared" si="152"/>
        <v>0</v>
      </c>
      <c r="DF912" s="19">
        <f t="shared" si="153"/>
        <v>0</v>
      </c>
      <c r="DG912" s="19">
        <f t="shared" si="154"/>
        <v>0</v>
      </c>
      <c r="DH912" s="20">
        <f t="shared" si="155"/>
        <v>0</v>
      </c>
      <c r="DI912" s="20">
        <f t="shared" si="156"/>
        <v>0</v>
      </c>
    </row>
    <row r="913" spans="80:113" x14ac:dyDescent="0.3">
      <c r="CB913" s="18"/>
      <c r="CC913" s="19"/>
      <c r="CD913" s="19"/>
      <c r="CE913" s="19"/>
      <c r="CF913" s="19"/>
      <c r="CG913" s="19"/>
      <c r="CH913" s="19"/>
      <c r="CI913" s="18"/>
      <c r="CJ913" s="18"/>
      <c r="CN913" s="18"/>
      <c r="CO913" s="19"/>
      <c r="CP913" s="19"/>
      <c r="CQ913" s="19"/>
      <c r="CR913" s="19"/>
      <c r="CS913" s="19"/>
      <c r="CT913" s="19"/>
      <c r="CU913" s="20"/>
      <c r="CV913" s="20"/>
      <c r="DA913" s="18">
        <f t="shared" si="148"/>
        <v>0</v>
      </c>
      <c r="DB913" s="19">
        <f t="shared" si="149"/>
        <v>0</v>
      </c>
      <c r="DC913" s="19">
        <f t="shared" si="150"/>
        <v>0</v>
      </c>
      <c r="DD913" s="19">
        <f t="shared" si="151"/>
        <v>0</v>
      </c>
      <c r="DE913" s="19">
        <f t="shared" si="152"/>
        <v>0</v>
      </c>
      <c r="DF913" s="19">
        <f t="shared" si="153"/>
        <v>0</v>
      </c>
      <c r="DG913" s="19">
        <f t="shared" si="154"/>
        <v>0</v>
      </c>
      <c r="DH913" s="20">
        <f t="shared" si="155"/>
        <v>0</v>
      </c>
      <c r="DI913" s="20">
        <f t="shared" si="156"/>
        <v>0</v>
      </c>
    </row>
    <row r="914" spans="80:113" x14ac:dyDescent="0.3">
      <c r="CB914" s="18"/>
      <c r="CC914" s="19"/>
      <c r="CD914" s="19"/>
      <c r="CE914" s="19"/>
      <c r="CF914" s="19"/>
      <c r="CG914" s="19"/>
      <c r="CH914" s="19"/>
      <c r="CI914" s="18"/>
      <c r="CJ914" s="18"/>
      <c r="CN914" s="18"/>
      <c r="CO914" s="19"/>
      <c r="CP914" s="19"/>
      <c r="CQ914" s="19"/>
      <c r="CR914" s="19"/>
      <c r="CS914" s="19"/>
      <c r="CT914" s="19"/>
      <c r="CU914" s="20"/>
      <c r="CV914" s="20"/>
      <c r="DA914" s="18">
        <f t="shared" si="148"/>
        <v>0</v>
      </c>
      <c r="DB914" s="19">
        <f t="shared" si="149"/>
        <v>0</v>
      </c>
      <c r="DC914" s="19">
        <f t="shared" si="150"/>
        <v>0</v>
      </c>
      <c r="DD914" s="19">
        <f t="shared" si="151"/>
        <v>0</v>
      </c>
      <c r="DE914" s="19">
        <f t="shared" si="152"/>
        <v>0</v>
      </c>
      <c r="DF914" s="19">
        <f t="shared" si="153"/>
        <v>0</v>
      </c>
      <c r="DG914" s="19">
        <f t="shared" si="154"/>
        <v>0</v>
      </c>
      <c r="DH914" s="20">
        <f t="shared" si="155"/>
        <v>0</v>
      </c>
      <c r="DI914" s="20">
        <f t="shared" si="156"/>
        <v>0</v>
      </c>
    </row>
    <row r="915" spans="80:113" x14ac:dyDescent="0.3">
      <c r="CB915" s="18"/>
      <c r="CC915" s="19"/>
      <c r="CD915" s="19"/>
      <c r="CE915" s="19"/>
      <c r="CF915" s="19"/>
      <c r="CG915" s="19"/>
      <c r="CH915" s="19"/>
      <c r="CI915" s="18"/>
      <c r="CJ915" s="18"/>
      <c r="CN915" s="18"/>
      <c r="CO915" s="19"/>
      <c r="CP915" s="19"/>
      <c r="CQ915" s="19"/>
      <c r="CR915" s="19"/>
      <c r="CS915" s="19"/>
      <c r="CT915" s="19"/>
      <c r="CU915" s="20"/>
      <c r="CV915" s="20"/>
      <c r="DA915" s="18">
        <f t="shared" si="148"/>
        <v>0</v>
      </c>
      <c r="DB915" s="19">
        <f t="shared" si="149"/>
        <v>0</v>
      </c>
      <c r="DC915" s="19">
        <f t="shared" si="150"/>
        <v>0</v>
      </c>
      <c r="DD915" s="19">
        <f t="shared" si="151"/>
        <v>0</v>
      </c>
      <c r="DE915" s="19">
        <f t="shared" si="152"/>
        <v>0</v>
      </c>
      <c r="DF915" s="19">
        <f t="shared" si="153"/>
        <v>0</v>
      </c>
      <c r="DG915" s="19">
        <f t="shared" si="154"/>
        <v>0</v>
      </c>
      <c r="DH915" s="20">
        <f t="shared" si="155"/>
        <v>0</v>
      </c>
      <c r="DI915" s="20">
        <f t="shared" si="156"/>
        <v>0</v>
      </c>
    </row>
    <row r="916" spans="80:113" x14ac:dyDescent="0.3">
      <c r="CB916" s="18"/>
      <c r="CC916" s="19"/>
      <c r="CD916" s="19"/>
      <c r="CE916" s="19"/>
      <c r="CF916" s="19"/>
      <c r="CG916" s="19"/>
      <c r="CH916" s="19"/>
      <c r="CI916" s="18"/>
      <c r="CJ916" s="18"/>
      <c r="CN916" s="18"/>
      <c r="CO916" s="19"/>
      <c r="CP916" s="19"/>
      <c r="CQ916" s="19"/>
      <c r="CR916" s="19"/>
      <c r="CS916" s="19"/>
      <c r="CT916" s="19"/>
      <c r="CU916" s="20"/>
      <c r="CV916" s="20"/>
      <c r="DA916" s="18">
        <f t="shared" si="148"/>
        <v>0</v>
      </c>
      <c r="DB916" s="19">
        <f t="shared" si="149"/>
        <v>0</v>
      </c>
      <c r="DC916" s="19">
        <f t="shared" si="150"/>
        <v>0</v>
      </c>
      <c r="DD916" s="19">
        <f t="shared" si="151"/>
        <v>0</v>
      </c>
      <c r="DE916" s="19">
        <f t="shared" si="152"/>
        <v>0</v>
      </c>
      <c r="DF916" s="19">
        <f t="shared" si="153"/>
        <v>0</v>
      </c>
      <c r="DG916" s="19">
        <f t="shared" si="154"/>
        <v>0</v>
      </c>
      <c r="DH916" s="20">
        <f t="shared" si="155"/>
        <v>0</v>
      </c>
      <c r="DI916" s="20">
        <f t="shared" si="156"/>
        <v>0</v>
      </c>
    </row>
    <row r="917" spans="80:113" x14ac:dyDescent="0.3">
      <c r="CB917" s="18"/>
      <c r="CC917" s="19"/>
      <c r="CD917" s="19"/>
      <c r="CE917" s="19"/>
      <c r="CF917" s="19"/>
      <c r="CG917" s="19"/>
      <c r="CH917" s="19"/>
      <c r="CI917" s="18"/>
      <c r="CJ917" s="18"/>
      <c r="CN917" s="18"/>
      <c r="CO917" s="19"/>
      <c r="CP917" s="19"/>
      <c r="CQ917" s="19"/>
      <c r="CR917" s="19"/>
      <c r="CS917" s="19"/>
      <c r="CT917" s="19"/>
      <c r="CU917" s="20"/>
      <c r="CV917" s="20"/>
      <c r="DA917" s="18">
        <f t="shared" si="148"/>
        <v>0</v>
      </c>
      <c r="DB917" s="19">
        <f t="shared" si="149"/>
        <v>0</v>
      </c>
      <c r="DC917" s="19">
        <f t="shared" si="150"/>
        <v>0</v>
      </c>
      <c r="DD917" s="19">
        <f t="shared" si="151"/>
        <v>0</v>
      </c>
      <c r="DE917" s="19">
        <f t="shared" si="152"/>
        <v>0</v>
      </c>
      <c r="DF917" s="19">
        <f t="shared" si="153"/>
        <v>0</v>
      </c>
      <c r="DG917" s="19">
        <f t="shared" si="154"/>
        <v>0</v>
      </c>
      <c r="DH917" s="20">
        <f t="shared" si="155"/>
        <v>0</v>
      </c>
      <c r="DI917" s="20">
        <f t="shared" si="156"/>
        <v>0</v>
      </c>
    </row>
    <row r="918" spans="80:113" x14ac:dyDescent="0.3">
      <c r="CB918" s="18"/>
      <c r="CC918" s="19"/>
      <c r="CD918" s="19"/>
      <c r="CE918" s="19"/>
      <c r="CF918" s="19"/>
      <c r="CG918" s="19"/>
      <c r="CH918" s="19"/>
      <c r="CI918" s="18"/>
      <c r="CJ918" s="18"/>
      <c r="CN918" s="18"/>
      <c r="CO918" s="19"/>
      <c r="CP918" s="19"/>
      <c r="CQ918" s="19"/>
      <c r="CR918" s="19"/>
      <c r="CS918" s="19"/>
      <c r="CT918" s="19"/>
      <c r="CU918" s="20"/>
      <c r="CV918" s="20"/>
      <c r="DA918" s="18">
        <f t="shared" si="148"/>
        <v>0</v>
      </c>
      <c r="DB918" s="19">
        <f t="shared" si="149"/>
        <v>0</v>
      </c>
      <c r="DC918" s="19">
        <f t="shared" si="150"/>
        <v>0</v>
      </c>
      <c r="DD918" s="19">
        <f t="shared" si="151"/>
        <v>0</v>
      </c>
      <c r="DE918" s="19">
        <f t="shared" si="152"/>
        <v>0</v>
      </c>
      <c r="DF918" s="19">
        <f t="shared" si="153"/>
        <v>0</v>
      </c>
      <c r="DG918" s="19">
        <f t="shared" si="154"/>
        <v>0</v>
      </c>
      <c r="DH918" s="20">
        <f t="shared" si="155"/>
        <v>0</v>
      </c>
      <c r="DI918" s="20">
        <f t="shared" si="156"/>
        <v>0</v>
      </c>
    </row>
    <row r="919" spans="80:113" x14ac:dyDescent="0.3">
      <c r="CB919" s="18"/>
      <c r="CC919" s="19"/>
      <c r="CD919" s="19"/>
      <c r="CE919" s="19"/>
      <c r="CF919" s="19"/>
      <c r="CG919" s="19"/>
      <c r="CH919" s="19"/>
      <c r="CI919" s="18"/>
      <c r="CJ919" s="18"/>
      <c r="CN919" s="18"/>
      <c r="CO919" s="19"/>
      <c r="CP919" s="19"/>
      <c r="CQ919" s="19"/>
      <c r="CR919" s="19"/>
      <c r="CS919" s="19"/>
      <c r="CT919" s="19"/>
      <c r="CU919" s="20"/>
      <c r="CV919" s="20"/>
      <c r="DA919" s="18">
        <f t="shared" si="148"/>
        <v>0</v>
      </c>
      <c r="DB919" s="19">
        <f t="shared" si="149"/>
        <v>0</v>
      </c>
      <c r="DC919" s="19">
        <f t="shared" si="150"/>
        <v>0</v>
      </c>
      <c r="DD919" s="19">
        <f t="shared" si="151"/>
        <v>0</v>
      </c>
      <c r="DE919" s="19">
        <f t="shared" si="152"/>
        <v>0</v>
      </c>
      <c r="DF919" s="19">
        <f t="shared" si="153"/>
        <v>0</v>
      </c>
      <c r="DG919" s="19">
        <f t="shared" si="154"/>
        <v>0</v>
      </c>
      <c r="DH919" s="20">
        <f t="shared" si="155"/>
        <v>0</v>
      </c>
      <c r="DI919" s="20">
        <f t="shared" si="156"/>
        <v>0</v>
      </c>
    </row>
    <row r="920" spans="80:113" x14ac:dyDescent="0.3">
      <c r="CB920" s="18"/>
      <c r="CC920" s="19"/>
      <c r="CD920" s="19"/>
      <c r="CE920" s="19"/>
      <c r="CF920" s="19"/>
      <c r="CG920" s="19"/>
      <c r="CH920" s="19"/>
      <c r="CI920" s="18"/>
      <c r="CJ920" s="18"/>
      <c r="CN920" s="18"/>
      <c r="CO920" s="19"/>
      <c r="CP920" s="19"/>
      <c r="CQ920" s="19"/>
      <c r="CR920" s="19"/>
      <c r="CS920" s="19"/>
      <c r="CT920" s="19"/>
      <c r="CU920" s="20"/>
      <c r="CV920" s="20"/>
      <c r="DA920" s="18">
        <f t="shared" si="148"/>
        <v>0</v>
      </c>
      <c r="DB920" s="19">
        <f t="shared" si="149"/>
        <v>0</v>
      </c>
      <c r="DC920" s="19">
        <f t="shared" si="150"/>
        <v>0</v>
      </c>
      <c r="DD920" s="19">
        <f t="shared" si="151"/>
        <v>0</v>
      </c>
      <c r="DE920" s="19">
        <f t="shared" si="152"/>
        <v>0</v>
      </c>
      <c r="DF920" s="19">
        <f t="shared" si="153"/>
        <v>0</v>
      </c>
      <c r="DG920" s="19">
        <f t="shared" si="154"/>
        <v>0</v>
      </c>
      <c r="DH920" s="20">
        <f t="shared" si="155"/>
        <v>0</v>
      </c>
      <c r="DI920" s="20">
        <f t="shared" si="156"/>
        <v>0</v>
      </c>
    </row>
    <row r="921" spans="80:113" x14ac:dyDescent="0.3">
      <c r="CB921" s="18"/>
      <c r="CC921" s="19"/>
      <c r="CD921" s="19"/>
      <c r="CE921" s="19"/>
      <c r="CF921" s="19"/>
      <c r="CG921" s="19"/>
      <c r="CH921" s="19"/>
      <c r="CI921" s="18"/>
      <c r="CJ921" s="18"/>
      <c r="CN921" s="18"/>
      <c r="CO921" s="19"/>
      <c r="CP921" s="19"/>
      <c r="CQ921" s="19"/>
      <c r="CR921" s="19"/>
      <c r="CS921" s="19"/>
      <c r="CT921" s="19"/>
      <c r="CU921" s="20"/>
      <c r="CV921" s="20"/>
      <c r="DA921" s="18">
        <f t="shared" si="148"/>
        <v>0</v>
      </c>
      <c r="DB921" s="19">
        <f t="shared" si="149"/>
        <v>0</v>
      </c>
      <c r="DC921" s="19">
        <f t="shared" si="150"/>
        <v>0</v>
      </c>
      <c r="DD921" s="19">
        <f t="shared" si="151"/>
        <v>0</v>
      </c>
      <c r="DE921" s="19">
        <f t="shared" si="152"/>
        <v>0</v>
      </c>
      <c r="DF921" s="19">
        <f t="shared" si="153"/>
        <v>0</v>
      </c>
      <c r="DG921" s="19">
        <f t="shared" si="154"/>
        <v>0</v>
      </c>
      <c r="DH921" s="20">
        <f t="shared" si="155"/>
        <v>0</v>
      </c>
      <c r="DI921" s="20">
        <f t="shared" si="156"/>
        <v>0</v>
      </c>
    </row>
    <row r="922" spans="80:113" x14ac:dyDescent="0.3">
      <c r="CB922" s="18"/>
      <c r="CC922" s="19"/>
      <c r="CD922" s="19"/>
      <c r="CE922" s="19"/>
      <c r="CF922" s="19"/>
      <c r="CG922" s="19"/>
      <c r="CH922" s="19"/>
      <c r="CI922" s="18"/>
      <c r="CJ922" s="18"/>
      <c r="CN922" s="18"/>
      <c r="CO922" s="19"/>
      <c r="CP922" s="19"/>
      <c r="CQ922" s="19"/>
      <c r="CR922" s="19"/>
      <c r="CS922" s="19"/>
      <c r="CT922" s="19"/>
      <c r="CU922" s="20"/>
      <c r="CV922" s="20"/>
      <c r="DA922" s="18">
        <f t="shared" si="148"/>
        <v>0</v>
      </c>
      <c r="DB922" s="19">
        <f t="shared" si="149"/>
        <v>0</v>
      </c>
      <c r="DC922" s="19">
        <f t="shared" si="150"/>
        <v>0</v>
      </c>
      <c r="DD922" s="19">
        <f t="shared" si="151"/>
        <v>0</v>
      </c>
      <c r="DE922" s="19">
        <f t="shared" si="152"/>
        <v>0</v>
      </c>
      <c r="DF922" s="19">
        <f t="shared" si="153"/>
        <v>0</v>
      </c>
      <c r="DG922" s="19">
        <f t="shared" si="154"/>
        <v>0</v>
      </c>
      <c r="DH922" s="20">
        <f t="shared" si="155"/>
        <v>0</v>
      </c>
      <c r="DI922" s="20">
        <f t="shared" si="156"/>
        <v>0</v>
      </c>
    </row>
    <row r="923" spans="80:113" x14ac:dyDescent="0.3">
      <c r="CB923" s="18"/>
      <c r="CC923" s="19"/>
      <c r="CD923" s="19"/>
      <c r="CE923" s="19"/>
      <c r="CF923" s="19"/>
      <c r="CG923" s="19"/>
      <c r="CH923" s="19"/>
      <c r="CI923" s="18"/>
      <c r="CJ923" s="18"/>
      <c r="CN923" s="18"/>
      <c r="CO923" s="19"/>
      <c r="CP923" s="19"/>
      <c r="CQ923" s="19"/>
      <c r="CR923" s="19"/>
      <c r="CS923" s="19"/>
      <c r="CT923" s="19"/>
      <c r="CU923" s="20"/>
      <c r="CV923" s="20"/>
      <c r="DA923" s="18">
        <f t="shared" si="148"/>
        <v>0</v>
      </c>
      <c r="DB923" s="19">
        <f t="shared" si="149"/>
        <v>0</v>
      </c>
      <c r="DC923" s="19">
        <f t="shared" si="150"/>
        <v>0</v>
      </c>
      <c r="DD923" s="19">
        <f t="shared" si="151"/>
        <v>0</v>
      </c>
      <c r="DE923" s="19">
        <f t="shared" si="152"/>
        <v>0</v>
      </c>
      <c r="DF923" s="19">
        <f t="shared" si="153"/>
        <v>0</v>
      </c>
      <c r="DG923" s="19">
        <f t="shared" si="154"/>
        <v>0</v>
      </c>
      <c r="DH923" s="20">
        <f t="shared" si="155"/>
        <v>0</v>
      </c>
      <c r="DI923" s="20">
        <f t="shared" si="156"/>
        <v>0</v>
      </c>
    </row>
    <row r="924" spans="80:113" x14ac:dyDescent="0.3">
      <c r="CB924" s="18"/>
      <c r="CC924" s="19"/>
      <c r="CD924" s="19"/>
      <c r="CE924" s="19"/>
      <c r="CF924" s="19"/>
      <c r="CG924" s="19"/>
      <c r="CH924" s="19"/>
      <c r="CI924" s="18"/>
      <c r="CJ924" s="18"/>
      <c r="CN924" s="18"/>
      <c r="CO924" s="19"/>
      <c r="CP924" s="19"/>
      <c r="CQ924" s="19"/>
      <c r="CR924" s="19"/>
      <c r="CS924" s="19"/>
      <c r="CT924" s="19"/>
      <c r="CU924" s="20"/>
      <c r="CV924" s="20"/>
      <c r="DA924" s="18">
        <f t="shared" si="148"/>
        <v>0</v>
      </c>
      <c r="DB924" s="19">
        <f t="shared" si="149"/>
        <v>0</v>
      </c>
      <c r="DC924" s="19">
        <f t="shared" si="150"/>
        <v>0</v>
      </c>
      <c r="DD924" s="19">
        <f t="shared" si="151"/>
        <v>0</v>
      </c>
      <c r="DE924" s="19">
        <f t="shared" si="152"/>
        <v>0</v>
      </c>
      <c r="DF924" s="19">
        <f t="shared" si="153"/>
        <v>0</v>
      </c>
      <c r="DG924" s="19">
        <f t="shared" si="154"/>
        <v>0</v>
      </c>
      <c r="DH924" s="20">
        <f t="shared" si="155"/>
        <v>0</v>
      </c>
      <c r="DI924" s="20">
        <f t="shared" si="156"/>
        <v>0</v>
      </c>
    </row>
    <row r="925" spans="80:113" x14ac:dyDescent="0.3">
      <c r="CB925" s="18"/>
      <c r="CC925" s="19"/>
      <c r="CD925" s="19"/>
      <c r="CE925" s="19"/>
      <c r="CF925" s="19"/>
      <c r="CG925" s="19"/>
      <c r="CH925" s="19"/>
      <c r="CI925" s="18"/>
      <c r="CJ925" s="18"/>
      <c r="CN925" s="18"/>
      <c r="CO925" s="19"/>
      <c r="CP925" s="19"/>
      <c r="CQ925" s="19"/>
      <c r="CR925" s="19"/>
      <c r="CS925" s="19"/>
      <c r="CT925" s="19"/>
      <c r="CU925" s="20"/>
      <c r="CV925" s="20"/>
      <c r="DA925" s="18">
        <f t="shared" si="148"/>
        <v>0</v>
      </c>
      <c r="DB925" s="19">
        <f t="shared" si="149"/>
        <v>0</v>
      </c>
      <c r="DC925" s="19">
        <f t="shared" si="150"/>
        <v>0</v>
      </c>
      <c r="DD925" s="19">
        <f t="shared" si="151"/>
        <v>0</v>
      </c>
      <c r="DE925" s="19">
        <f t="shared" si="152"/>
        <v>0</v>
      </c>
      <c r="DF925" s="19">
        <f t="shared" si="153"/>
        <v>0</v>
      </c>
      <c r="DG925" s="19">
        <f t="shared" si="154"/>
        <v>0</v>
      </c>
      <c r="DH925" s="20">
        <f t="shared" si="155"/>
        <v>0</v>
      </c>
      <c r="DI925" s="20">
        <f t="shared" si="156"/>
        <v>0</v>
      </c>
    </row>
    <row r="926" spans="80:113" x14ac:dyDescent="0.3">
      <c r="CB926" s="18"/>
      <c r="CC926" s="19"/>
      <c r="CD926" s="19"/>
      <c r="CE926" s="19"/>
      <c r="CF926" s="19"/>
      <c r="CG926" s="19"/>
      <c r="CH926" s="19"/>
      <c r="CI926" s="18"/>
      <c r="CJ926" s="18"/>
      <c r="CN926" s="18"/>
      <c r="CO926" s="19"/>
      <c r="CP926" s="19"/>
      <c r="CQ926" s="19"/>
      <c r="CR926" s="19"/>
      <c r="CS926" s="19"/>
      <c r="CT926" s="19"/>
      <c r="CU926" s="20"/>
      <c r="CV926" s="20"/>
      <c r="DA926" s="18">
        <f t="shared" si="148"/>
        <v>0</v>
      </c>
      <c r="DB926" s="19">
        <f t="shared" si="149"/>
        <v>0</v>
      </c>
      <c r="DC926" s="19">
        <f t="shared" si="150"/>
        <v>0</v>
      </c>
      <c r="DD926" s="19">
        <f t="shared" si="151"/>
        <v>0</v>
      </c>
      <c r="DE926" s="19">
        <f t="shared" si="152"/>
        <v>0</v>
      </c>
      <c r="DF926" s="19">
        <f t="shared" si="153"/>
        <v>0</v>
      </c>
      <c r="DG926" s="19">
        <f t="shared" si="154"/>
        <v>0</v>
      </c>
      <c r="DH926" s="20">
        <f t="shared" si="155"/>
        <v>0</v>
      </c>
      <c r="DI926" s="20">
        <f t="shared" si="156"/>
        <v>0</v>
      </c>
    </row>
    <row r="927" spans="80:113" x14ac:dyDescent="0.3">
      <c r="CB927" s="18"/>
      <c r="CC927" s="19"/>
      <c r="CD927" s="19"/>
      <c r="CE927" s="19"/>
      <c r="CF927" s="19"/>
      <c r="CG927" s="19"/>
      <c r="CH927" s="19"/>
      <c r="CI927" s="18"/>
      <c r="CJ927" s="18"/>
      <c r="CN927" s="18"/>
      <c r="CO927" s="19"/>
      <c r="CP927" s="19"/>
      <c r="CQ927" s="19"/>
      <c r="CR927" s="19"/>
      <c r="CS927" s="19"/>
      <c r="CT927" s="19"/>
      <c r="CU927" s="20"/>
      <c r="CV927" s="20"/>
      <c r="DA927" s="18">
        <f t="shared" si="148"/>
        <v>0</v>
      </c>
      <c r="DB927" s="19">
        <f t="shared" si="149"/>
        <v>0</v>
      </c>
      <c r="DC927" s="19">
        <f t="shared" si="150"/>
        <v>0</v>
      </c>
      <c r="DD927" s="19">
        <f t="shared" si="151"/>
        <v>0</v>
      </c>
      <c r="DE927" s="19">
        <f t="shared" si="152"/>
        <v>0</v>
      </c>
      <c r="DF927" s="19">
        <f t="shared" si="153"/>
        <v>0</v>
      </c>
      <c r="DG927" s="19">
        <f t="shared" si="154"/>
        <v>0</v>
      </c>
      <c r="DH927" s="20">
        <f t="shared" si="155"/>
        <v>0</v>
      </c>
      <c r="DI927" s="20">
        <f t="shared" si="156"/>
        <v>0</v>
      </c>
    </row>
    <row r="928" spans="80:113" x14ac:dyDescent="0.3">
      <c r="CB928" s="18"/>
      <c r="CC928" s="19"/>
      <c r="CD928" s="19"/>
      <c r="CE928" s="19"/>
      <c r="CF928" s="19"/>
      <c r="CG928" s="19"/>
      <c r="CH928" s="19"/>
      <c r="CI928" s="18"/>
      <c r="CJ928" s="18"/>
      <c r="CN928" s="18"/>
      <c r="CO928" s="19"/>
      <c r="CP928" s="19"/>
      <c r="CQ928" s="19"/>
      <c r="CR928" s="19"/>
      <c r="CS928" s="19"/>
      <c r="CT928" s="19"/>
      <c r="CU928" s="20"/>
      <c r="CV928" s="20"/>
      <c r="DA928" s="18">
        <f t="shared" si="148"/>
        <v>0</v>
      </c>
      <c r="DB928" s="19">
        <f t="shared" si="149"/>
        <v>0</v>
      </c>
      <c r="DC928" s="19">
        <f t="shared" si="150"/>
        <v>0</v>
      </c>
      <c r="DD928" s="19">
        <f t="shared" si="151"/>
        <v>0</v>
      </c>
      <c r="DE928" s="19">
        <f t="shared" si="152"/>
        <v>0</v>
      </c>
      <c r="DF928" s="19">
        <f t="shared" si="153"/>
        <v>0</v>
      </c>
      <c r="DG928" s="19">
        <f t="shared" si="154"/>
        <v>0</v>
      </c>
      <c r="DH928" s="20">
        <f t="shared" si="155"/>
        <v>0</v>
      </c>
      <c r="DI928" s="20">
        <f t="shared" si="156"/>
        <v>0</v>
      </c>
    </row>
    <row r="929" spans="80:113" x14ac:dyDescent="0.3">
      <c r="CB929" s="18"/>
      <c r="CC929" s="19"/>
      <c r="CD929" s="19"/>
      <c r="CE929" s="19"/>
      <c r="CF929" s="19"/>
      <c r="CG929" s="19"/>
      <c r="CH929" s="19"/>
      <c r="CI929" s="18"/>
      <c r="CJ929" s="18"/>
      <c r="CN929" s="18"/>
      <c r="CO929" s="19"/>
      <c r="CP929" s="19"/>
      <c r="CQ929" s="19"/>
      <c r="CR929" s="19"/>
      <c r="CS929" s="19"/>
      <c r="CT929" s="19"/>
      <c r="CU929" s="20"/>
      <c r="CV929" s="20"/>
      <c r="DA929" s="18">
        <f t="shared" si="148"/>
        <v>0</v>
      </c>
      <c r="DB929" s="19">
        <f t="shared" si="149"/>
        <v>0</v>
      </c>
      <c r="DC929" s="19">
        <f t="shared" si="150"/>
        <v>0</v>
      </c>
      <c r="DD929" s="19">
        <f t="shared" si="151"/>
        <v>0</v>
      </c>
      <c r="DE929" s="19">
        <f t="shared" si="152"/>
        <v>0</v>
      </c>
      <c r="DF929" s="19">
        <f t="shared" si="153"/>
        <v>0</v>
      </c>
      <c r="DG929" s="19">
        <f t="shared" si="154"/>
        <v>0</v>
      </c>
      <c r="DH929" s="20">
        <f t="shared" si="155"/>
        <v>0</v>
      </c>
      <c r="DI929" s="20">
        <f t="shared" si="156"/>
        <v>0</v>
      </c>
    </row>
    <row r="930" spans="80:113" x14ac:dyDescent="0.3">
      <c r="CB930" s="18"/>
      <c r="CC930" s="19"/>
      <c r="CD930" s="19"/>
      <c r="CE930" s="19"/>
      <c r="CF930" s="19"/>
      <c r="CG930" s="19"/>
      <c r="CH930" s="19"/>
      <c r="CI930" s="18"/>
      <c r="CJ930" s="18"/>
      <c r="CN930" s="18"/>
      <c r="CO930" s="19"/>
      <c r="CP930" s="19"/>
      <c r="CQ930" s="19"/>
      <c r="CR930" s="19"/>
      <c r="CS930" s="19"/>
      <c r="CT930" s="19"/>
      <c r="CU930" s="20"/>
      <c r="CV930" s="20"/>
      <c r="DA930" s="18">
        <f t="shared" si="148"/>
        <v>0</v>
      </c>
      <c r="DB930" s="19">
        <f t="shared" si="149"/>
        <v>0</v>
      </c>
      <c r="DC930" s="19">
        <f t="shared" si="150"/>
        <v>0</v>
      </c>
      <c r="DD930" s="19">
        <f t="shared" si="151"/>
        <v>0</v>
      </c>
      <c r="DE930" s="19">
        <f t="shared" si="152"/>
        <v>0</v>
      </c>
      <c r="DF930" s="19">
        <f t="shared" si="153"/>
        <v>0</v>
      </c>
      <c r="DG930" s="19">
        <f t="shared" si="154"/>
        <v>0</v>
      </c>
      <c r="DH930" s="20">
        <f t="shared" si="155"/>
        <v>0</v>
      </c>
      <c r="DI930" s="20">
        <f t="shared" si="156"/>
        <v>0</v>
      </c>
    </row>
    <row r="931" spans="80:113" x14ac:dyDescent="0.3">
      <c r="CB931" s="18"/>
      <c r="CC931" s="19"/>
      <c r="CD931" s="19"/>
      <c r="CE931" s="19"/>
      <c r="CF931" s="19"/>
      <c r="CG931" s="19"/>
      <c r="CH931" s="19"/>
      <c r="CI931" s="18"/>
      <c r="CJ931" s="18"/>
      <c r="CN931" s="18"/>
      <c r="CO931" s="19"/>
      <c r="CP931" s="19"/>
      <c r="CQ931" s="19"/>
      <c r="CR931" s="19"/>
      <c r="CS931" s="19"/>
      <c r="CT931" s="19"/>
      <c r="CU931" s="20"/>
      <c r="CV931" s="20"/>
      <c r="DA931" s="18">
        <f t="shared" si="148"/>
        <v>0</v>
      </c>
      <c r="DB931" s="19">
        <f t="shared" si="149"/>
        <v>0</v>
      </c>
      <c r="DC931" s="19">
        <f t="shared" si="150"/>
        <v>0</v>
      </c>
      <c r="DD931" s="19">
        <f t="shared" si="151"/>
        <v>0</v>
      </c>
      <c r="DE931" s="19">
        <f t="shared" si="152"/>
        <v>0</v>
      </c>
      <c r="DF931" s="19">
        <f t="shared" si="153"/>
        <v>0</v>
      </c>
      <c r="DG931" s="19">
        <f t="shared" si="154"/>
        <v>0</v>
      </c>
      <c r="DH931" s="20">
        <f t="shared" si="155"/>
        <v>0</v>
      </c>
      <c r="DI931" s="20">
        <f t="shared" si="156"/>
        <v>0</v>
      </c>
    </row>
    <row r="932" spans="80:113" x14ac:dyDescent="0.3">
      <c r="CB932" s="18"/>
      <c r="CC932" s="19"/>
      <c r="CD932" s="19"/>
      <c r="CE932" s="19"/>
      <c r="CF932" s="19"/>
      <c r="CG932" s="19"/>
      <c r="CH932" s="19"/>
      <c r="CI932" s="18"/>
      <c r="CJ932" s="18"/>
      <c r="CN932" s="18"/>
      <c r="CO932" s="19"/>
      <c r="CP932" s="19"/>
      <c r="CQ932" s="19"/>
      <c r="CR932" s="19"/>
      <c r="CS932" s="19"/>
      <c r="CT932" s="19"/>
      <c r="CU932" s="20"/>
      <c r="CV932" s="20"/>
      <c r="DA932" s="18">
        <f t="shared" si="148"/>
        <v>0</v>
      </c>
      <c r="DB932" s="19">
        <f t="shared" si="149"/>
        <v>0</v>
      </c>
      <c r="DC932" s="19">
        <f t="shared" si="150"/>
        <v>0</v>
      </c>
      <c r="DD932" s="19">
        <f t="shared" si="151"/>
        <v>0</v>
      </c>
      <c r="DE932" s="19">
        <f t="shared" si="152"/>
        <v>0</v>
      </c>
      <c r="DF932" s="19">
        <f t="shared" si="153"/>
        <v>0</v>
      </c>
      <c r="DG932" s="19">
        <f t="shared" si="154"/>
        <v>0</v>
      </c>
      <c r="DH932" s="20">
        <f t="shared" si="155"/>
        <v>0</v>
      </c>
      <c r="DI932" s="20">
        <f t="shared" si="156"/>
        <v>0</v>
      </c>
    </row>
    <row r="933" spans="80:113" x14ac:dyDescent="0.3">
      <c r="CB933" s="18"/>
      <c r="CC933" s="19"/>
      <c r="CD933" s="19"/>
      <c r="CE933" s="19"/>
      <c r="CF933" s="19"/>
      <c r="CG933" s="19"/>
      <c r="CH933" s="19"/>
      <c r="CI933" s="18"/>
      <c r="CJ933" s="18"/>
      <c r="CN933" s="18"/>
      <c r="CO933" s="19"/>
      <c r="CP933" s="19"/>
      <c r="CQ933" s="19"/>
      <c r="CR933" s="19"/>
      <c r="CS933" s="19"/>
      <c r="CT933" s="19"/>
      <c r="CU933" s="20"/>
      <c r="CV933" s="20"/>
      <c r="DA933" s="18">
        <f t="shared" si="148"/>
        <v>0</v>
      </c>
      <c r="DB933" s="19">
        <f t="shared" si="149"/>
        <v>0</v>
      </c>
      <c r="DC933" s="19">
        <f t="shared" si="150"/>
        <v>0</v>
      </c>
      <c r="DD933" s="19">
        <f t="shared" si="151"/>
        <v>0</v>
      </c>
      <c r="DE933" s="19">
        <f t="shared" si="152"/>
        <v>0</v>
      </c>
      <c r="DF933" s="19">
        <f t="shared" si="153"/>
        <v>0</v>
      </c>
      <c r="DG933" s="19">
        <f t="shared" si="154"/>
        <v>0</v>
      </c>
      <c r="DH933" s="20">
        <f t="shared" si="155"/>
        <v>0</v>
      </c>
      <c r="DI933" s="20">
        <f t="shared" si="156"/>
        <v>0</v>
      </c>
    </row>
    <row r="934" spans="80:113" x14ac:dyDescent="0.3">
      <c r="CB934" s="18"/>
      <c r="CC934" s="19"/>
      <c r="CD934" s="19"/>
      <c r="CE934" s="19"/>
      <c r="CF934" s="19"/>
      <c r="CG934" s="19"/>
      <c r="CH934" s="19"/>
      <c r="CI934" s="18"/>
      <c r="CJ934" s="18"/>
      <c r="CN934" s="18"/>
      <c r="CO934" s="19"/>
      <c r="CP934" s="19"/>
      <c r="CQ934" s="19"/>
      <c r="CR934" s="19"/>
      <c r="CS934" s="19"/>
      <c r="CT934" s="19"/>
      <c r="CU934" s="20"/>
      <c r="CV934" s="20"/>
      <c r="DA934" s="18">
        <f t="shared" si="148"/>
        <v>0</v>
      </c>
      <c r="DB934" s="19">
        <f t="shared" si="149"/>
        <v>0</v>
      </c>
      <c r="DC934" s="19">
        <f t="shared" si="150"/>
        <v>0</v>
      </c>
      <c r="DD934" s="19">
        <f t="shared" si="151"/>
        <v>0</v>
      </c>
      <c r="DE934" s="19">
        <f t="shared" si="152"/>
        <v>0</v>
      </c>
      <c r="DF934" s="19">
        <f t="shared" si="153"/>
        <v>0</v>
      </c>
      <c r="DG934" s="19">
        <f t="shared" si="154"/>
        <v>0</v>
      </c>
      <c r="DH934" s="20">
        <f t="shared" si="155"/>
        <v>0</v>
      </c>
      <c r="DI934" s="20">
        <f t="shared" si="156"/>
        <v>0</v>
      </c>
    </row>
    <row r="935" spans="80:113" x14ac:dyDescent="0.3">
      <c r="CB935" s="18"/>
      <c r="CC935" s="19"/>
      <c r="CD935" s="19"/>
      <c r="CE935" s="19"/>
      <c r="CF935" s="19"/>
      <c r="CG935" s="19"/>
      <c r="CH935" s="19"/>
      <c r="CI935" s="18"/>
      <c r="CJ935" s="18"/>
      <c r="CN935" s="18"/>
      <c r="CO935" s="19"/>
      <c r="CP935" s="19"/>
      <c r="CQ935" s="19"/>
      <c r="CR935" s="19"/>
      <c r="CS935" s="19"/>
      <c r="CT935" s="19"/>
      <c r="CU935" s="20"/>
      <c r="CV935" s="20"/>
      <c r="DA935" s="18">
        <f t="shared" si="148"/>
        <v>0</v>
      </c>
      <c r="DB935" s="19">
        <f t="shared" si="149"/>
        <v>0</v>
      </c>
      <c r="DC935" s="19">
        <f t="shared" si="150"/>
        <v>0</v>
      </c>
      <c r="DD935" s="19">
        <f t="shared" si="151"/>
        <v>0</v>
      </c>
      <c r="DE935" s="19">
        <f t="shared" si="152"/>
        <v>0</v>
      </c>
      <c r="DF935" s="19">
        <f t="shared" si="153"/>
        <v>0</v>
      </c>
      <c r="DG935" s="19">
        <f t="shared" si="154"/>
        <v>0</v>
      </c>
      <c r="DH935" s="20">
        <f t="shared" si="155"/>
        <v>0</v>
      </c>
      <c r="DI935" s="20">
        <f t="shared" si="156"/>
        <v>0</v>
      </c>
    </row>
    <row r="936" spans="80:113" x14ac:dyDescent="0.3">
      <c r="CB936" s="18"/>
      <c r="CC936" s="19"/>
      <c r="CD936" s="19"/>
      <c r="CE936" s="19"/>
      <c r="CF936" s="19"/>
      <c r="CG936" s="19"/>
      <c r="CH936" s="19"/>
      <c r="CI936" s="18"/>
      <c r="CJ936" s="18"/>
      <c r="CN936" s="18"/>
      <c r="CO936" s="19"/>
      <c r="CP936" s="19"/>
      <c r="CQ936" s="19"/>
      <c r="CR936" s="19"/>
      <c r="CS936" s="19"/>
      <c r="CT936" s="19"/>
      <c r="CU936" s="20"/>
      <c r="CV936" s="20"/>
      <c r="DA936" s="18">
        <f t="shared" si="148"/>
        <v>0</v>
      </c>
      <c r="DB936" s="19">
        <f t="shared" si="149"/>
        <v>0</v>
      </c>
      <c r="DC936" s="19">
        <f t="shared" si="150"/>
        <v>0</v>
      </c>
      <c r="DD936" s="19">
        <f t="shared" si="151"/>
        <v>0</v>
      </c>
      <c r="DE936" s="19">
        <f t="shared" si="152"/>
        <v>0</v>
      </c>
      <c r="DF936" s="19">
        <f t="shared" si="153"/>
        <v>0</v>
      </c>
      <c r="DG936" s="19">
        <f t="shared" si="154"/>
        <v>0</v>
      </c>
      <c r="DH936" s="20">
        <f t="shared" si="155"/>
        <v>0</v>
      </c>
      <c r="DI936" s="20">
        <f t="shared" si="156"/>
        <v>0</v>
      </c>
    </row>
    <row r="937" spans="80:113" x14ac:dyDescent="0.3">
      <c r="CB937" s="18"/>
      <c r="CC937" s="19"/>
      <c r="CD937" s="19"/>
      <c r="CE937" s="19"/>
      <c r="CF937" s="19"/>
      <c r="CG937" s="19"/>
      <c r="CH937" s="19"/>
      <c r="CI937" s="18"/>
      <c r="CJ937" s="18"/>
      <c r="CN937" s="18"/>
      <c r="CO937" s="19"/>
      <c r="CP937" s="19"/>
      <c r="CQ937" s="19"/>
      <c r="CR937" s="19"/>
      <c r="CS937" s="19"/>
      <c r="CT937" s="19"/>
      <c r="CU937" s="20"/>
      <c r="CV937" s="20"/>
      <c r="DA937" s="18">
        <f t="shared" si="148"/>
        <v>0</v>
      </c>
      <c r="DB937" s="19">
        <f t="shared" si="149"/>
        <v>0</v>
      </c>
      <c r="DC937" s="19">
        <f t="shared" si="150"/>
        <v>0</v>
      </c>
      <c r="DD937" s="19">
        <f t="shared" si="151"/>
        <v>0</v>
      </c>
      <c r="DE937" s="19">
        <f t="shared" si="152"/>
        <v>0</v>
      </c>
      <c r="DF937" s="19">
        <f t="shared" si="153"/>
        <v>0</v>
      </c>
      <c r="DG937" s="19">
        <f t="shared" si="154"/>
        <v>0</v>
      </c>
      <c r="DH937" s="20">
        <f t="shared" si="155"/>
        <v>0</v>
      </c>
      <c r="DI937" s="20">
        <f t="shared" si="156"/>
        <v>0</v>
      </c>
    </row>
    <row r="938" spans="80:113" x14ac:dyDescent="0.3">
      <c r="CB938" s="18"/>
      <c r="CC938" s="19"/>
      <c r="CD938" s="19"/>
      <c r="CE938" s="19"/>
      <c r="CF938" s="19"/>
      <c r="CG938" s="19"/>
      <c r="CH938" s="19"/>
      <c r="CI938" s="18"/>
      <c r="CJ938" s="18"/>
      <c r="CN938" s="18"/>
      <c r="CO938" s="19"/>
      <c r="CP938" s="19"/>
      <c r="CQ938" s="19"/>
      <c r="CR938" s="19"/>
      <c r="CS938" s="19"/>
      <c r="CT938" s="19"/>
      <c r="CU938" s="20"/>
      <c r="CV938" s="20"/>
      <c r="DA938" s="18">
        <f t="shared" si="148"/>
        <v>0</v>
      </c>
      <c r="DB938" s="19">
        <f t="shared" si="149"/>
        <v>0</v>
      </c>
      <c r="DC938" s="19">
        <f t="shared" si="150"/>
        <v>0</v>
      </c>
      <c r="DD938" s="19">
        <f t="shared" si="151"/>
        <v>0</v>
      </c>
      <c r="DE938" s="19">
        <f t="shared" si="152"/>
        <v>0</v>
      </c>
      <c r="DF938" s="19">
        <f t="shared" si="153"/>
        <v>0</v>
      </c>
      <c r="DG938" s="19">
        <f t="shared" si="154"/>
        <v>0</v>
      </c>
      <c r="DH938" s="20">
        <f t="shared" si="155"/>
        <v>0</v>
      </c>
      <c r="DI938" s="20">
        <f t="shared" si="156"/>
        <v>0</v>
      </c>
    </row>
    <row r="939" spans="80:113" x14ac:dyDescent="0.3">
      <c r="CB939" s="18"/>
      <c r="CC939" s="19"/>
      <c r="CD939" s="19"/>
      <c r="CE939" s="19"/>
      <c r="CF939" s="19"/>
      <c r="CG939" s="19"/>
      <c r="CH939" s="19"/>
      <c r="CI939" s="18"/>
      <c r="CJ939" s="18"/>
      <c r="CN939" s="18"/>
      <c r="CO939" s="19"/>
      <c r="CP939" s="19"/>
      <c r="CQ939" s="19"/>
      <c r="CR939" s="19"/>
      <c r="CS939" s="19"/>
      <c r="CT939" s="19"/>
      <c r="CU939" s="20"/>
      <c r="CV939" s="20"/>
      <c r="DA939" s="18">
        <f t="shared" si="148"/>
        <v>0</v>
      </c>
      <c r="DB939" s="19">
        <f t="shared" si="149"/>
        <v>0</v>
      </c>
      <c r="DC939" s="19">
        <f t="shared" si="150"/>
        <v>0</v>
      </c>
      <c r="DD939" s="19">
        <f t="shared" si="151"/>
        <v>0</v>
      </c>
      <c r="DE939" s="19">
        <f t="shared" si="152"/>
        <v>0</v>
      </c>
      <c r="DF939" s="19">
        <f t="shared" si="153"/>
        <v>0</v>
      </c>
      <c r="DG939" s="19">
        <f t="shared" si="154"/>
        <v>0</v>
      </c>
      <c r="DH939" s="20">
        <f t="shared" si="155"/>
        <v>0</v>
      </c>
      <c r="DI939" s="20">
        <f t="shared" si="156"/>
        <v>0</v>
      </c>
    </row>
    <row r="940" spans="80:113" x14ac:dyDescent="0.3">
      <c r="CB940" s="18"/>
      <c r="CC940" s="19"/>
      <c r="CD940" s="19"/>
      <c r="CE940" s="19"/>
      <c r="CF940" s="19"/>
      <c r="CG940" s="19"/>
      <c r="CH940" s="19"/>
      <c r="CI940" s="18"/>
      <c r="CJ940" s="18"/>
      <c r="CN940" s="18"/>
      <c r="CO940" s="19"/>
      <c r="CP940" s="19"/>
      <c r="CQ940" s="19"/>
      <c r="CR940" s="19"/>
      <c r="CS940" s="19"/>
      <c r="CT940" s="19"/>
      <c r="CU940" s="20"/>
      <c r="CV940" s="20"/>
      <c r="DA940" s="18">
        <f t="shared" si="148"/>
        <v>0</v>
      </c>
      <c r="DB940" s="19">
        <f t="shared" si="149"/>
        <v>0</v>
      </c>
      <c r="DC940" s="19">
        <f t="shared" si="150"/>
        <v>0</v>
      </c>
      <c r="DD940" s="19">
        <f t="shared" si="151"/>
        <v>0</v>
      </c>
      <c r="DE940" s="19">
        <f t="shared" si="152"/>
        <v>0</v>
      </c>
      <c r="DF940" s="19">
        <f t="shared" si="153"/>
        <v>0</v>
      </c>
      <c r="DG940" s="19">
        <f t="shared" si="154"/>
        <v>0</v>
      </c>
      <c r="DH940" s="20">
        <f t="shared" si="155"/>
        <v>0</v>
      </c>
      <c r="DI940" s="20">
        <f t="shared" si="156"/>
        <v>0</v>
      </c>
    </row>
    <row r="941" spans="80:113" x14ac:dyDescent="0.3">
      <c r="CB941" s="18"/>
      <c r="CC941" s="19"/>
      <c r="CD941" s="19"/>
      <c r="CE941" s="19"/>
      <c r="CF941" s="19"/>
      <c r="CG941" s="19"/>
      <c r="CH941" s="19"/>
      <c r="CI941" s="18"/>
      <c r="CJ941" s="18"/>
      <c r="CN941" s="18"/>
      <c r="CO941" s="19"/>
      <c r="CP941" s="19"/>
      <c r="CQ941" s="19"/>
      <c r="CR941" s="19"/>
      <c r="CS941" s="19"/>
      <c r="CT941" s="19"/>
      <c r="CU941" s="20"/>
      <c r="CV941" s="20"/>
      <c r="DA941" s="18">
        <f t="shared" si="148"/>
        <v>0</v>
      </c>
      <c r="DB941" s="19">
        <f t="shared" si="149"/>
        <v>0</v>
      </c>
      <c r="DC941" s="19">
        <f t="shared" si="150"/>
        <v>0</v>
      </c>
      <c r="DD941" s="19">
        <f t="shared" si="151"/>
        <v>0</v>
      </c>
      <c r="DE941" s="19">
        <f t="shared" si="152"/>
        <v>0</v>
      </c>
      <c r="DF941" s="19">
        <f t="shared" si="153"/>
        <v>0</v>
      </c>
      <c r="DG941" s="19">
        <f t="shared" si="154"/>
        <v>0</v>
      </c>
      <c r="DH941" s="20">
        <f t="shared" si="155"/>
        <v>0</v>
      </c>
      <c r="DI941" s="20">
        <f t="shared" si="156"/>
        <v>0</v>
      </c>
    </row>
    <row r="942" spans="80:113" x14ac:dyDescent="0.3">
      <c r="CB942" s="18"/>
      <c r="CC942" s="19"/>
      <c r="CD942" s="19"/>
      <c r="CE942" s="19"/>
      <c r="CF942" s="19"/>
      <c r="CG942" s="19"/>
      <c r="CH942" s="19"/>
      <c r="CI942" s="18"/>
      <c r="CJ942" s="18"/>
      <c r="CN942" s="18"/>
      <c r="CO942" s="19"/>
      <c r="CP942" s="19"/>
      <c r="CQ942" s="19"/>
      <c r="CR942" s="19"/>
      <c r="CS942" s="19"/>
      <c r="CT942" s="19"/>
      <c r="CU942" s="20"/>
      <c r="CV942" s="20"/>
      <c r="DA942" s="18">
        <f t="shared" si="148"/>
        <v>0</v>
      </c>
      <c r="DB942" s="19">
        <f t="shared" si="149"/>
        <v>0</v>
      </c>
      <c r="DC942" s="19">
        <f t="shared" si="150"/>
        <v>0</v>
      </c>
      <c r="DD942" s="19">
        <f t="shared" si="151"/>
        <v>0</v>
      </c>
      <c r="DE942" s="19">
        <f t="shared" si="152"/>
        <v>0</v>
      </c>
      <c r="DF942" s="19">
        <f t="shared" si="153"/>
        <v>0</v>
      </c>
      <c r="DG942" s="19">
        <f t="shared" si="154"/>
        <v>0</v>
      </c>
      <c r="DH942" s="20">
        <f t="shared" si="155"/>
        <v>0</v>
      </c>
      <c r="DI942" s="20">
        <f t="shared" si="156"/>
        <v>0</v>
      </c>
    </row>
    <row r="943" spans="80:113" x14ac:dyDescent="0.3">
      <c r="CB943" s="18"/>
      <c r="CC943" s="19"/>
      <c r="CD943" s="19"/>
      <c r="CE943" s="19"/>
      <c r="CF943" s="19"/>
      <c r="CG943" s="19"/>
      <c r="CH943" s="19"/>
      <c r="CI943" s="18"/>
      <c r="CJ943" s="18"/>
      <c r="CN943" s="18"/>
      <c r="CO943" s="19"/>
      <c r="CP943" s="19"/>
      <c r="CQ943" s="19"/>
      <c r="CR943" s="19"/>
      <c r="CS943" s="19"/>
      <c r="CT943" s="19"/>
      <c r="CU943" s="20"/>
      <c r="CV943" s="20"/>
      <c r="DA943" s="18">
        <f t="shared" si="148"/>
        <v>0</v>
      </c>
      <c r="DB943" s="19">
        <f t="shared" si="149"/>
        <v>0</v>
      </c>
      <c r="DC943" s="19">
        <f t="shared" si="150"/>
        <v>0</v>
      </c>
      <c r="DD943" s="19">
        <f t="shared" si="151"/>
        <v>0</v>
      </c>
      <c r="DE943" s="19">
        <f t="shared" si="152"/>
        <v>0</v>
      </c>
      <c r="DF943" s="19">
        <f t="shared" si="153"/>
        <v>0</v>
      </c>
      <c r="DG943" s="19">
        <f t="shared" si="154"/>
        <v>0</v>
      </c>
      <c r="DH943" s="20">
        <f t="shared" si="155"/>
        <v>0</v>
      </c>
      <c r="DI943" s="20">
        <f t="shared" si="156"/>
        <v>0</v>
      </c>
    </row>
    <row r="944" spans="80:113" x14ac:dyDescent="0.3">
      <c r="CB944" s="18"/>
      <c r="CC944" s="19"/>
      <c r="CD944" s="19"/>
      <c r="CE944" s="19"/>
      <c r="CF944" s="19"/>
      <c r="CG944" s="19"/>
      <c r="CH944" s="19"/>
      <c r="CI944" s="18"/>
      <c r="CJ944" s="18"/>
      <c r="CN944" s="18"/>
      <c r="CO944" s="19"/>
      <c r="CP944" s="19"/>
      <c r="CQ944" s="19"/>
      <c r="CR944" s="19"/>
      <c r="CS944" s="19"/>
      <c r="CT944" s="19"/>
      <c r="CU944" s="20"/>
      <c r="CV944" s="20"/>
      <c r="DA944" s="18">
        <f t="shared" si="148"/>
        <v>0</v>
      </c>
      <c r="DB944" s="19">
        <f t="shared" si="149"/>
        <v>0</v>
      </c>
      <c r="DC944" s="19">
        <f t="shared" si="150"/>
        <v>0</v>
      </c>
      <c r="DD944" s="19">
        <f t="shared" si="151"/>
        <v>0</v>
      </c>
      <c r="DE944" s="19">
        <f t="shared" si="152"/>
        <v>0</v>
      </c>
      <c r="DF944" s="19">
        <f t="shared" si="153"/>
        <v>0</v>
      </c>
      <c r="DG944" s="19">
        <f t="shared" si="154"/>
        <v>0</v>
      </c>
      <c r="DH944" s="20">
        <f t="shared" si="155"/>
        <v>0</v>
      </c>
      <c r="DI944" s="20">
        <f t="shared" si="156"/>
        <v>0</v>
      </c>
    </row>
    <row r="945" spans="80:113" x14ac:dyDescent="0.3">
      <c r="CB945" s="18"/>
      <c r="CC945" s="19"/>
      <c r="CD945" s="19"/>
      <c r="CE945" s="19"/>
      <c r="CF945" s="19"/>
      <c r="CG945" s="19"/>
      <c r="CH945" s="19"/>
      <c r="CI945" s="18"/>
      <c r="CJ945" s="18"/>
      <c r="CN945" s="18"/>
      <c r="CO945" s="19"/>
      <c r="CP945" s="19"/>
      <c r="CQ945" s="19"/>
      <c r="CR945" s="19"/>
      <c r="CS945" s="19"/>
      <c r="CT945" s="19"/>
      <c r="CU945" s="20"/>
      <c r="CV945" s="20"/>
      <c r="DA945" s="18">
        <f t="shared" si="148"/>
        <v>0</v>
      </c>
      <c r="DB945" s="19">
        <f t="shared" si="149"/>
        <v>0</v>
      </c>
      <c r="DC945" s="19">
        <f t="shared" si="150"/>
        <v>0</v>
      </c>
      <c r="DD945" s="19">
        <f t="shared" si="151"/>
        <v>0</v>
      </c>
      <c r="DE945" s="19">
        <f t="shared" si="152"/>
        <v>0</v>
      </c>
      <c r="DF945" s="19">
        <f t="shared" si="153"/>
        <v>0</v>
      </c>
      <c r="DG945" s="19">
        <f t="shared" si="154"/>
        <v>0</v>
      </c>
      <c r="DH945" s="20">
        <f t="shared" si="155"/>
        <v>0</v>
      </c>
      <c r="DI945" s="20">
        <f t="shared" si="156"/>
        <v>0</v>
      </c>
    </row>
    <row r="946" spans="80:113" x14ac:dyDescent="0.3">
      <c r="CB946" s="18"/>
      <c r="CC946" s="19"/>
      <c r="CD946" s="19"/>
      <c r="CE946" s="19"/>
      <c r="CF946" s="19"/>
      <c r="CG946" s="19"/>
      <c r="CH946" s="19"/>
      <c r="CI946" s="18"/>
      <c r="CJ946" s="18"/>
      <c r="CN946" s="18"/>
      <c r="CO946" s="19"/>
      <c r="CP946" s="19"/>
      <c r="CQ946" s="19"/>
      <c r="CR946" s="19"/>
      <c r="CS946" s="19"/>
      <c r="CT946" s="19"/>
      <c r="CU946" s="20"/>
      <c r="CV946" s="20"/>
      <c r="DA946" s="18">
        <f t="shared" si="148"/>
        <v>0</v>
      </c>
      <c r="DB946" s="19">
        <f t="shared" si="149"/>
        <v>0</v>
      </c>
      <c r="DC946" s="19">
        <f t="shared" si="150"/>
        <v>0</v>
      </c>
      <c r="DD946" s="19">
        <f t="shared" si="151"/>
        <v>0</v>
      </c>
      <c r="DE946" s="19">
        <f t="shared" si="152"/>
        <v>0</v>
      </c>
      <c r="DF946" s="19">
        <f t="shared" si="153"/>
        <v>0</v>
      </c>
      <c r="DG946" s="19">
        <f t="shared" si="154"/>
        <v>0</v>
      </c>
      <c r="DH946" s="20">
        <f t="shared" si="155"/>
        <v>0</v>
      </c>
      <c r="DI946" s="20">
        <f t="shared" si="156"/>
        <v>0</v>
      </c>
    </row>
    <row r="947" spans="80:113" x14ac:dyDescent="0.3">
      <c r="CB947" s="18"/>
      <c r="CC947" s="19"/>
      <c r="CD947" s="19"/>
      <c r="CE947" s="19"/>
      <c r="CF947" s="19"/>
      <c r="CG947" s="19"/>
      <c r="CH947" s="19"/>
      <c r="CI947" s="18"/>
      <c r="CJ947" s="18"/>
      <c r="CN947" s="18"/>
      <c r="CO947" s="19"/>
      <c r="CP947" s="19"/>
      <c r="CQ947" s="19"/>
      <c r="CR947" s="19"/>
      <c r="CS947" s="19"/>
      <c r="CT947" s="19"/>
      <c r="CU947" s="20"/>
      <c r="CV947" s="20"/>
      <c r="DA947" s="18">
        <f t="shared" si="148"/>
        <v>0</v>
      </c>
      <c r="DB947" s="19">
        <f t="shared" si="149"/>
        <v>0</v>
      </c>
      <c r="DC947" s="19">
        <f t="shared" si="150"/>
        <v>0</v>
      </c>
      <c r="DD947" s="19">
        <f t="shared" si="151"/>
        <v>0</v>
      </c>
      <c r="DE947" s="19">
        <f t="shared" si="152"/>
        <v>0</v>
      </c>
      <c r="DF947" s="19">
        <f t="shared" si="153"/>
        <v>0</v>
      </c>
      <c r="DG947" s="19">
        <f t="shared" si="154"/>
        <v>0</v>
      </c>
      <c r="DH947" s="20">
        <f t="shared" si="155"/>
        <v>0</v>
      </c>
      <c r="DI947" s="20">
        <f t="shared" si="156"/>
        <v>0</v>
      </c>
    </row>
    <row r="948" spans="80:113" x14ac:dyDescent="0.3">
      <c r="CB948" s="18"/>
      <c r="CC948" s="19"/>
      <c r="CD948" s="19"/>
      <c r="CE948" s="19"/>
      <c r="CF948" s="19"/>
      <c r="CG948" s="19"/>
      <c r="CH948" s="19"/>
      <c r="CI948" s="18"/>
      <c r="CJ948" s="18"/>
      <c r="CN948" s="18"/>
      <c r="CO948" s="19"/>
      <c r="CP948" s="19"/>
      <c r="CQ948" s="19"/>
      <c r="CR948" s="19"/>
      <c r="CS948" s="19"/>
      <c r="CT948" s="19"/>
      <c r="CU948" s="20"/>
      <c r="CV948" s="20"/>
      <c r="DA948" s="18">
        <f t="shared" si="148"/>
        <v>0</v>
      </c>
      <c r="DB948" s="19">
        <f t="shared" si="149"/>
        <v>0</v>
      </c>
      <c r="DC948" s="19">
        <f t="shared" si="150"/>
        <v>0</v>
      </c>
      <c r="DD948" s="19">
        <f t="shared" si="151"/>
        <v>0</v>
      </c>
      <c r="DE948" s="19">
        <f t="shared" si="152"/>
        <v>0</v>
      </c>
      <c r="DF948" s="19">
        <f t="shared" si="153"/>
        <v>0</v>
      </c>
      <c r="DG948" s="19">
        <f t="shared" si="154"/>
        <v>0</v>
      </c>
      <c r="DH948" s="20">
        <f t="shared" si="155"/>
        <v>0</v>
      </c>
      <c r="DI948" s="20">
        <f t="shared" si="156"/>
        <v>0</v>
      </c>
    </row>
    <row r="949" spans="80:113" x14ac:dyDescent="0.3">
      <c r="CB949" s="18"/>
      <c r="CC949" s="19"/>
      <c r="CD949" s="19"/>
      <c r="CE949" s="19"/>
      <c r="CF949" s="19"/>
      <c r="CG949" s="19"/>
      <c r="CH949" s="19"/>
      <c r="CI949" s="18"/>
      <c r="CJ949" s="18"/>
      <c r="CN949" s="18"/>
      <c r="CO949" s="19"/>
      <c r="CP949" s="19"/>
      <c r="CQ949" s="19"/>
      <c r="CR949" s="19"/>
      <c r="CS949" s="19"/>
      <c r="CT949" s="19"/>
      <c r="CU949" s="20"/>
      <c r="CV949" s="20"/>
      <c r="DA949" s="18">
        <f t="shared" si="148"/>
        <v>0</v>
      </c>
      <c r="DB949" s="19">
        <f t="shared" si="149"/>
        <v>0</v>
      </c>
      <c r="DC949" s="19">
        <f t="shared" si="150"/>
        <v>0</v>
      </c>
      <c r="DD949" s="19">
        <f t="shared" si="151"/>
        <v>0</v>
      </c>
      <c r="DE949" s="19">
        <f t="shared" si="152"/>
        <v>0</v>
      </c>
      <c r="DF949" s="19">
        <f t="shared" si="153"/>
        <v>0</v>
      </c>
      <c r="DG949" s="19">
        <f t="shared" si="154"/>
        <v>0</v>
      </c>
      <c r="DH949" s="20">
        <f t="shared" si="155"/>
        <v>0</v>
      </c>
      <c r="DI949" s="20">
        <f t="shared" si="156"/>
        <v>0</v>
      </c>
    </row>
    <row r="950" spans="80:113" x14ac:dyDescent="0.3">
      <c r="CB950" s="18"/>
      <c r="CC950" s="19"/>
      <c r="CD950" s="19"/>
      <c r="CE950" s="19"/>
      <c r="CF950" s="19"/>
      <c r="CG950" s="19"/>
      <c r="CH950" s="19"/>
      <c r="CI950" s="18"/>
      <c r="CJ950" s="18"/>
      <c r="CN950" s="18"/>
      <c r="CO950" s="19"/>
      <c r="CP950" s="19"/>
      <c r="CQ950" s="19"/>
      <c r="CR950" s="19"/>
      <c r="CS950" s="19"/>
      <c r="CT950" s="19"/>
      <c r="CU950" s="20"/>
      <c r="CV950" s="20"/>
      <c r="DA950" s="18">
        <f t="shared" si="148"/>
        <v>0</v>
      </c>
      <c r="DB950" s="19">
        <f t="shared" si="149"/>
        <v>0</v>
      </c>
      <c r="DC950" s="19">
        <f t="shared" si="150"/>
        <v>0</v>
      </c>
      <c r="DD950" s="19">
        <f t="shared" si="151"/>
        <v>0</v>
      </c>
      <c r="DE950" s="19">
        <f t="shared" si="152"/>
        <v>0</v>
      </c>
      <c r="DF950" s="19">
        <f t="shared" si="153"/>
        <v>0</v>
      </c>
      <c r="DG950" s="19">
        <f t="shared" si="154"/>
        <v>0</v>
      </c>
      <c r="DH950" s="20">
        <f t="shared" si="155"/>
        <v>0</v>
      </c>
      <c r="DI950" s="20">
        <f t="shared" si="156"/>
        <v>0</v>
      </c>
    </row>
    <row r="951" spans="80:113" x14ac:dyDescent="0.3">
      <c r="CB951" s="18"/>
      <c r="CC951" s="19"/>
      <c r="CD951" s="19"/>
      <c r="CE951" s="19"/>
      <c r="CF951" s="19"/>
      <c r="CG951" s="19"/>
      <c r="CH951" s="19"/>
      <c r="CI951" s="18"/>
      <c r="CJ951" s="18"/>
      <c r="CN951" s="18"/>
      <c r="CO951" s="19"/>
      <c r="CP951" s="19"/>
      <c r="CQ951" s="19"/>
      <c r="CR951" s="19"/>
      <c r="CS951" s="19"/>
      <c r="CT951" s="19"/>
      <c r="CU951" s="20"/>
      <c r="CV951" s="20"/>
      <c r="DA951" s="18">
        <f t="shared" si="148"/>
        <v>0</v>
      </c>
      <c r="DB951" s="19">
        <f t="shared" si="149"/>
        <v>0</v>
      </c>
      <c r="DC951" s="19">
        <f t="shared" si="150"/>
        <v>0</v>
      </c>
      <c r="DD951" s="19">
        <f t="shared" si="151"/>
        <v>0</v>
      </c>
      <c r="DE951" s="19">
        <f t="shared" si="152"/>
        <v>0</v>
      </c>
      <c r="DF951" s="19">
        <f t="shared" si="153"/>
        <v>0</v>
      </c>
      <c r="DG951" s="19">
        <f t="shared" si="154"/>
        <v>0</v>
      </c>
      <c r="DH951" s="20">
        <f t="shared" si="155"/>
        <v>0</v>
      </c>
      <c r="DI951" s="20">
        <f t="shared" si="156"/>
        <v>0</v>
      </c>
    </row>
    <row r="952" spans="80:113" x14ac:dyDescent="0.3">
      <c r="CB952" s="18"/>
      <c r="CC952" s="19"/>
      <c r="CD952" s="19"/>
      <c r="CE952" s="19"/>
      <c r="CF952" s="19"/>
      <c r="CG952" s="19"/>
      <c r="CH952" s="19"/>
      <c r="CI952" s="18"/>
      <c r="CJ952" s="18"/>
      <c r="CN952" s="18"/>
      <c r="CO952" s="19"/>
      <c r="CP952" s="19"/>
      <c r="CQ952" s="19"/>
      <c r="CR952" s="19"/>
      <c r="CS952" s="19"/>
      <c r="CT952" s="19"/>
      <c r="CU952" s="20"/>
      <c r="CV952" s="20"/>
      <c r="DA952" s="18">
        <f t="shared" si="148"/>
        <v>0</v>
      </c>
      <c r="DB952" s="19">
        <f t="shared" si="149"/>
        <v>0</v>
      </c>
      <c r="DC952" s="19">
        <f t="shared" si="150"/>
        <v>0</v>
      </c>
      <c r="DD952" s="19">
        <f t="shared" si="151"/>
        <v>0</v>
      </c>
      <c r="DE952" s="19">
        <f t="shared" si="152"/>
        <v>0</v>
      </c>
      <c r="DF952" s="19">
        <f t="shared" si="153"/>
        <v>0</v>
      </c>
      <c r="DG952" s="19">
        <f t="shared" si="154"/>
        <v>0</v>
      </c>
      <c r="DH952" s="20">
        <f t="shared" si="155"/>
        <v>0</v>
      </c>
      <c r="DI952" s="20">
        <f t="shared" si="156"/>
        <v>0</v>
      </c>
    </row>
    <row r="953" spans="80:113" x14ac:dyDescent="0.3">
      <c r="CB953" s="18"/>
      <c r="CC953" s="19"/>
      <c r="CD953" s="19"/>
      <c r="CE953" s="19"/>
      <c r="CF953" s="19"/>
      <c r="CG953" s="19"/>
      <c r="CH953" s="19"/>
      <c r="CI953" s="18"/>
      <c r="CJ953" s="18"/>
      <c r="CN953" s="18"/>
      <c r="CO953" s="19"/>
      <c r="CP953" s="19"/>
      <c r="CQ953" s="19"/>
      <c r="CR953" s="19"/>
      <c r="CS953" s="19"/>
      <c r="CT953" s="19"/>
      <c r="CU953" s="20"/>
      <c r="CV953" s="20"/>
      <c r="DA953" s="18">
        <f t="shared" si="148"/>
        <v>0</v>
      </c>
      <c r="DB953" s="19">
        <f t="shared" si="149"/>
        <v>0</v>
      </c>
      <c r="DC953" s="19">
        <f t="shared" si="150"/>
        <v>0</v>
      </c>
      <c r="DD953" s="19">
        <f t="shared" si="151"/>
        <v>0</v>
      </c>
      <c r="DE953" s="19">
        <f t="shared" si="152"/>
        <v>0</v>
      </c>
      <c r="DF953" s="19">
        <f t="shared" si="153"/>
        <v>0</v>
      </c>
      <c r="DG953" s="19">
        <f t="shared" si="154"/>
        <v>0</v>
      </c>
      <c r="DH953" s="20">
        <f t="shared" si="155"/>
        <v>0</v>
      </c>
      <c r="DI953" s="20">
        <f t="shared" si="156"/>
        <v>0</v>
      </c>
    </row>
    <row r="954" spans="80:113" x14ac:dyDescent="0.3">
      <c r="CB954" s="18"/>
      <c r="CC954" s="19"/>
      <c r="CD954" s="19"/>
      <c r="CE954" s="19"/>
      <c r="CF954" s="19"/>
      <c r="CG954" s="19"/>
      <c r="CH954" s="19"/>
      <c r="CI954" s="18"/>
      <c r="CJ954" s="18"/>
      <c r="CN954" s="18"/>
      <c r="CO954" s="19"/>
      <c r="CP954" s="19"/>
      <c r="CQ954" s="19"/>
      <c r="CR954" s="19"/>
      <c r="CS954" s="19"/>
      <c r="CT954" s="19"/>
      <c r="CU954" s="20"/>
      <c r="CV954" s="20"/>
      <c r="DA954" s="18">
        <f t="shared" si="148"/>
        <v>0</v>
      </c>
      <c r="DB954" s="19">
        <f t="shared" si="149"/>
        <v>0</v>
      </c>
      <c r="DC954" s="19">
        <f t="shared" si="150"/>
        <v>0</v>
      </c>
      <c r="DD954" s="19">
        <f t="shared" si="151"/>
        <v>0</v>
      </c>
      <c r="DE954" s="19">
        <f t="shared" si="152"/>
        <v>0</v>
      </c>
      <c r="DF954" s="19">
        <f t="shared" si="153"/>
        <v>0</v>
      </c>
      <c r="DG954" s="19">
        <f t="shared" si="154"/>
        <v>0</v>
      </c>
      <c r="DH954" s="20">
        <f t="shared" si="155"/>
        <v>0</v>
      </c>
      <c r="DI954" s="20">
        <f t="shared" si="156"/>
        <v>0</v>
      </c>
    </row>
    <row r="955" spans="80:113" x14ac:dyDescent="0.3">
      <c r="CB955" s="18"/>
      <c r="CC955" s="19"/>
      <c r="CD955" s="19"/>
      <c r="CE955" s="19"/>
      <c r="CF955" s="19"/>
      <c r="CG955" s="19"/>
      <c r="CH955" s="19"/>
      <c r="CI955" s="18"/>
      <c r="CJ955" s="18"/>
      <c r="CN955" s="18"/>
      <c r="CO955" s="19"/>
      <c r="CP955" s="19"/>
      <c r="CQ955" s="19"/>
      <c r="CR955" s="19"/>
      <c r="CS955" s="19"/>
      <c r="CT955" s="19"/>
      <c r="CU955" s="20"/>
      <c r="CV955" s="20"/>
      <c r="DA955" s="18">
        <f t="shared" si="148"/>
        <v>0</v>
      </c>
      <c r="DB955" s="19">
        <f t="shared" si="149"/>
        <v>0</v>
      </c>
      <c r="DC955" s="19">
        <f t="shared" si="150"/>
        <v>0</v>
      </c>
      <c r="DD955" s="19">
        <f t="shared" si="151"/>
        <v>0</v>
      </c>
      <c r="DE955" s="19">
        <f t="shared" si="152"/>
        <v>0</v>
      </c>
      <c r="DF955" s="19">
        <f t="shared" si="153"/>
        <v>0</v>
      </c>
      <c r="DG955" s="19">
        <f t="shared" si="154"/>
        <v>0</v>
      </c>
      <c r="DH955" s="20">
        <f t="shared" si="155"/>
        <v>0</v>
      </c>
      <c r="DI955" s="20">
        <f t="shared" si="156"/>
        <v>0</v>
      </c>
    </row>
    <row r="956" spans="80:113" x14ac:dyDescent="0.3">
      <c r="CB956" s="18"/>
      <c r="CC956" s="19"/>
      <c r="CD956" s="19"/>
      <c r="CE956" s="19"/>
      <c r="CF956" s="19"/>
      <c r="CG956" s="19"/>
      <c r="CH956" s="19"/>
      <c r="CI956" s="18"/>
      <c r="CJ956" s="18"/>
      <c r="CN956" s="18"/>
      <c r="CO956" s="19"/>
      <c r="CP956" s="19"/>
      <c r="CQ956" s="19"/>
      <c r="CR956" s="19"/>
      <c r="CS956" s="19"/>
      <c r="CT956" s="19"/>
      <c r="CU956" s="20"/>
      <c r="CV956" s="20"/>
      <c r="DA956" s="18">
        <f t="shared" si="148"/>
        <v>0</v>
      </c>
      <c r="DB956" s="19">
        <f t="shared" si="149"/>
        <v>0</v>
      </c>
      <c r="DC956" s="19">
        <f t="shared" si="150"/>
        <v>0</v>
      </c>
      <c r="DD956" s="19">
        <f t="shared" si="151"/>
        <v>0</v>
      </c>
      <c r="DE956" s="19">
        <f t="shared" si="152"/>
        <v>0</v>
      </c>
      <c r="DF956" s="19">
        <f t="shared" si="153"/>
        <v>0</v>
      </c>
      <c r="DG956" s="19">
        <f t="shared" si="154"/>
        <v>0</v>
      </c>
      <c r="DH956" s="20">
        <f t="shared" si="155"/>
        <v>0</v>
      </c>
      <c r="DI956" s="20">
        <f t="shared" si="156"/>
        <v>0</v>
      </c>
    </row>
    <row r="957" spans="80:113" x14ac:dyDescent="0.3">
      <c r="CB957" s="18"/>
      <c r="CC957" s="19"/>
      <c r="CD957" s="19"/>
      <c r="CE957" s="19"/>
      <c r="CF957" s="19"/>
      <c r="CG957" s="19"/>
      <c r="CH957" s="19"/>
      <c r="CI957" s="18"/>
      <c r="CJ957" s="18"/>
      <c r="CN957" s="18"/>
      <c r="CO957" s="19"/>
      <c r="CP957" s="19"/>
      <c r="CQ957" s="19"/>
      <c r="CR957" s="19"/>
      <c r="CS957" s="19"/>
      <c r="CT957" s="19"/>
      <c r="CU957" s="20"/>
      <c r="CV957" s="20"/>
      <c r="DA957" s="18">
        <f t="shared" si="148"/>
        <v>0</v>
      </c>
      <c r="DB957" s="19">
        <f t="shared" si="149"/>
        <v>0</v>
      </c>
      <c r="DC957" s="19">
        <f t="shared" si="150"/>
        <v>0</v>
      </c>
      <c r="DD957" s="19">
        <f t="shared" si="151"/>
        <v>0</v>
      </c>
      <c r="DE957" s="19">
        <f t="shared" si="152"/>
        <v>0</v>
      </c>
      <c r="DF957" s="19">
        <f t="shared" si="153"/>
        <v>0</v>
      </c>
      <c r="DG957" s="19">
        <f t="shared" si="154"/>
        <v>0</v>
      </c>
      <c r="DH957" s="20">
        <f t="shared" si="155"/>
        <v>0</v>
      </c>
      <c r="DI957" s="20">
        <f t="shared" si="156"/>
        <v>0</v>
      </c>
    </row>
    <row r="958" spans="80:113" x14ac:dyDescent="0.3">
      <c r="CB958" s="18"/>
      <c r="CC958" s="19"/>
      <c r="CD958" s="19"/>
      <c r="CE958" s="19"/>
      <c r="CF958" s="19"/>
      <c r="CG958" s="19"/>
      <c r="CH958" s="19"/>
      <c r="CI958" s="18"/>
      <c r="CJ958" s="18"/>
      <c r="CN958" s="18"/>
      <c r="CO958" s="19"/>
      <c r="CP958" s="19"/>
      <c r="CQ958" s="19"/>
      <c r="CR958" s="19"/>
      <c r="CS958" s="19"/>
      <c r="CT958" s="19"/>
      <c r="CU958" s="20"/>
      <c r="CV958" s="20"/>
      <c r="DA958" s="18">
        <f t="shared" si="148"/>
        <v>0</v>
      </c>
      <c r="DB958" s="19">
        <f t="shared" si="149"/>
        <v>0</v>
      </c>
      <c r="DC958" s="19">
        <f t="shared" si="150"/>
        <v>0</v>
      </c>
      <c r="DD958" s="19">
        <f t="shared" si="151"/>
        <v>0</v>
      </c>
      <c r="DE958" s="19">
        <f t="shared" si="152"/>
        <v>0</v>
      </c>
      <c r="DF958" s="19">
        <f t="shared" si="153"/>
        <v>0</v>
      </c>
      <c r="DG958" s="19">
        <f t="shared" si="154"/>
        <v>0</v>
      </c>
      <c r="DH958" s="20">
        <f t="shared" si="155"/>
        <v>0</v>
      </c>
      <c r="DI958" s="20">
        <f t="shared" si="156"/>
        <v>0</v>
      </c>
    </row>
    <row r="959" spans="80:113" x14ac:dyDescent="0.3">
      <c r="CB959" s="18"/>
      <c r="CC959" s="19"/>
      <c r="CD959" s="19"/>
      <c r="CE959" s="19"/>
      <c r="CF959" s="19"/>
      <c r="CG959" s="19"/>
      <c r="CH959" s="19"/>
      <c r="CI959" s="18"/>
      <c r="CJ959" s="18"/>
      <c r="CN959" s="18"/>
      <c r="CO959" s="19"/>
      <c r="CP959" s="19"/>
      <c r="CQ959" s="19"/>
      <c r="CR959" s="19"/>
      <c r="CS959" s="19"/>
      <c r="CT959" s="19"/>
      <c r="CU959" s="20"/>
      <c r="CV959" s="20"/>
      <c r="DA959" s="18">
        <f t="shared" si="148"/>
        <v>0</v>
      </c>
      <c r="DB959" s="19">
        <f t="shared" si="149"/>
        <v>0</v>
      </c>
      <c r="DC959" s="19">
        <f t="shared" si="150"/>
        <v>0</v>
      </c>
      <c r="DD959" s="19">
        <f t="shared" si="151"/>
        <v>0</v>
      </c>
      <c r="DE959" s="19">
        <f t="shared" si="152"/>
        <v>0</v>
      </c>
      <c r="DF959" s="19">
        <f t="shared" si="153"/>
        <v>0</v>
      </c>
      <c r="DG959" s="19">
        <f t="shared" si="154"/>
        <v>0</v>
      </c>
      <c r="DH959" s="20">
        <f t="shared" si="155"/>
        <v>0</v>
      </c>
      <c r="DI959" s="20">
        <f t="shared" si="156"/>
        <v>0</v>
      </c>
    </row>
    <row r="960" spans="80:113" x14ac:dyDescent="0.3">
      <c r="CB960" s="18"/>
      <c r="CC960" s="19"/>
      <c r="CD960" s="19"/>
      <c r="CE960" s="19"/>
      <c r="CF960" s="19"/>
      <c r="CG960" s="19"/>
      <c r="CH960" s="19"/>
      <c r="CI960" s="18"/>
      <c r="CJ960" s="18"/>
      <c r="CN960" s="18"/>
      <c r="CO960" s="19"/>
      <c r="CP960" s="19"/>
      <c r="CQ960" s="19"/>
      <c r="CR960" s="19"/>
      <c r="CS960" s="19"/>
      <c r="CT960" s="19"/>
      <c r="CU960" s="20"/>
      <c r="CV960" s="20"/>
      <c r="DA960" s="18">
        <f t="shared" si="148"/>
        <v>0</v>
      </c>
      <c r="DB960" s="19">
        <f t="shared" si="149"/>
        <v>0</v>
      </c>
      <c r="DC960" s="19">
        <f t="shared" si="150"/>
        <v>0</v>
      </c>
      <c r="DD960" s="19">
        <f t="shared" si="151"/>
        <v>0</v>
      </c>
      <c r="DE960" s="19">
        <f t="shared" si="152"/>
        <v>0</v>
      </c>
      <c r="DF960" s="19">
        <f t="shared" si="153"/>
        <v>0</v>
      </c>
      <c r="DG960" s="19">
        <f t="shared" si="154"/>
        <v>0</v>
      </c>
      <c r="DH960" s="20">
        <f t="shared" si="155"/>
        <v>0</v>
      </c>
      <c r="DI960" s="20">
        <f t="shared" si="156"/>
        <v>0</v>
      </c>
    </row>
    <row r="961" spans="80:113" x14ac:dyDescent="0.3">
      <c r="CB961" s="18"/>
      <c r="CC961" s="19"/>
      <c r="CD961" s="19"/>
      <c r="CE961" s="19"/>
      <c r="CF961" s="19"/>
      <c r="CG961" s="19"/>
      <c r="CH961" s="19"/>
      <c r="CI961" s="18"/>
      <c r="CJ961" s="18"/>
      <c r="CN961" s="18"/>
      <c r="CO961" s="19"/>
      <c r="CP961" s="19"/>
      <c r="CQ961" s="19"/>
      <c r="CR961" s="19"/>
      <c r="CS961" s="19"/>
      <c r="CT961" s="19"/>
      <c r="CU961" s="20"/>
      <c r="CV961" s="20"/>
      <c r="DA961" s="18">
        <f t="shared" si="148"/>
        <v>0</v>
      </c>
      <c r="DB961" s="19">
        <f t="shared" si="149"/>
        <v>0</v>
      </c>
      <c r="DC961" s="19">
        <f t="shared" si="150"/>
        <v>0</v>
      </c>
      <c r="DD961" s="19">
        <f t="shared" si="151"/>
        <v>0</v>
      </c>
      <c r="DE961" s="19">
        <f t="shared" si="152"/>
        <v>0</v>
      </c>
      <c r="DF961" s="19">
        <f t="shared" si="153"/>
        <v>0</v>
      </c>
      <c r="DG961" s="19">
        <f t="shared" si="154"/>
        <v>0</v>
      </c>
      <c r="DH961" s="20">
        <f t="shared" si="155"/>
        <v>0</v>
      </c>
      <c r="DI961" s="20">
        <f t="shared" si="156"/>
        <v>0</v>
      </c>
    </row>
    <row r="962" spans="80:113" x14ac:dyDescent="0.3">
      <c r="CB962" s="18"/>
      <c r="CC962" s="19"/>
      <c r="CD962" s="19"/>
      <c r="CE962" s="19"/>
      <c r="CF962" s="19"/>
      <c r="CG962" s="19"/>
      <c r="CH962" s="19"/>
      <c r="CI962" s="18"/>
      <c r="CJ962" s="18"/>
      <c r="CN962" s="18"/>
      <c r="CO962" s="19"/>
      <c r="CP962" s="19"/>
      <c r="CQ962" s="19"/>
      <c r="CR962" s="19"/>
      <c r="CS962" s="19"/>
      <c r="CT962" s="19"/>
      <c r="CU962" s="20"/>
      <c r="CV962" s="20"/>
      <c r="DA962" s="18">
        <f t="shared" si="148"/>
        <v>0</v>
      </c>
      <c r="DB962" s="19">
        <f t="shared" si="149"/>
        <v>0</v>
      </c>
      <c r="DC962" s="19">
        <f t="shared" si="150"/>
        <v>0</v>
      </c>
      <c r="DD962" s="19">
        <f t="shared" si="151"/>
        <v>0</v>
      </c>
      <c r="DE962" s="19">
        <f t="shared" si="152"/>
        <v>0</v>
      </c>
      <c r="DF962" s="19">
        <f t="shared" si="153"/>
        <v>0</v>
      </c>
      <c r="DG962" s="19">
        <f t="shared" si="154"/>
        <v>0</v>
      </c>
      <c r="DH962" s="20">
        <f t="shared" si="155"/>
        <v>0</v>
      </c>
      <c r="DI962" s="20">
        <f t="shared" si="156"/>
        <v>0</v>
      </c>
    </row>
    <row r="963" spans="80:113" x14ac:dyDescent="0.3">
      <c r="CB963" s="18"/>
      <c r="CC963" s="19"/>
      <c r="CD963" s="19"/>
      <c r="CE963" s="19"/>
      <c r="CF963" s="19"/>
      <c r="CG963" s="19"/>
      <c r="CH963" s="19"/>
      <c r="CI963" s="18"/>
      <c r="CJ963" s="18"/>
      <c r="CN963" s="18"/>
      <c r="CO963" s="19"/>
      <c r="CP963" s="19"/>
      <c r="CQ963" s="19"/>
      <c r="CR963" s="19"/>
      <c r="CS963" s="19"/>
      <c r="CT963" s="19"/>
      <c r="CU963" s="20"/>
      <c r="CV963" s="20"/>
      <c r="DA963" s="18">
        <f t="shared" ref="DA963:DA1001" si="157">IF($BZ$2=1,CN963,CB963)</f>
        <v>0</v>
      </c>
      <c r="DB963" s="19">
        <f t="shared" ref="DB963:DB1001" si="158">IF($BZ$2=1,CO963,CC963)</f>
        <v>0</v>
      </c>
      <c r="DC963" s="19">
        <f t="shared" ref="DC963:DC1001" si="159">IF($BZ$2=1,CP963,CD963)</f>
        <v>0</v>
      </c>
      <c r="DD963" s="19">
        <f t="shared" ref="DD963:DD1001" si="160">IF($BZ$2=1,CQ963,CE963)</f>
        <v>0</v>
      </c>
      <c r="DE963" s="19">
        <f t="shared" ref="DE963:DE1001" si="161">IF($BZ$2=1,CR963,CF963)</f>
        <v>0</v>
      </c>
      <c r="DF963" s="19">
        <f t="shared" ref="DF963:DF1001" si="162">IF($BZ$2=1,CS963,CG963)</f>
        <v>0</v>
      </c>
      <c r="DG963" s="19">
        <f t="shared" ref="DG963:DG1001" si="163">IF($BZ$2=1,CT963,CH963)</f>
        <v>0</v>
      </c>
      <c r="DH963" s="20">
        <f t="shared" ref="DH963:DH1001" si="164">IF($BZ$2=1,CU963,CI963)</f>
        <v>0</v>
      </c>
      <c r="DI963" s="20">
        <f t="shared" ref="DI963:DI1001" si="165">IF($BZ$2=1,CV963,CJ963)</f>
        <v>0</v>
      </c>
    </row>
    <row r="964" spans="80:113" x14ac:dyDescent="0.3">
      <c r="CB964" s="18"/>
      <c r="CC964" s="19"/>
      <c r="CD964" s="19"/>
      <c r="CE964" s="19"/>
      <c r="CF964" s="19"/>
      <c r="CG964" s="19"/>
      <c r="CH964" s="19"/>
      <c r="CI964" s="18"/>
      <c r="CJ964" s="18"/>
      <c r="CN964" s="18"/>
      <c r="CO964" s="19"/>
      <c r="CP964" s="19"/>
      <c r="CQ964" s="19"/>
      <c r="CR964" s="19"/>
      <c r="CS964" s="19"/>
      <c r="CT964" s="19"/>
      <c r="CU964" s="20"/>
      <c r="CV964" s="20"/>
      <c r="DA964" s="18">
        <f t="shared" si="157"/>
        <v>0</v>
      </c>
      <c r="DB964" s="19">
        <f t="shared" si="158"/>
        <v>0</v>
      </c>
      <c r="DC964" s="19">
        <f t="shared" si="159"/>
        <v>0</v>
      </c>
      <c r="DD964" s="19">
        <f t="shared" si="160"/>
        <v>0</v>
      </c>
      <c r="DE964" s="19">
        <f t="shared" si="161"/>
        <v>0</v>
      </c>
      <c r="DF964" s="19">
        <f t="shared" si="162"/>
        <v>0</v>
      </c>
      <c r="DG964" s="19">
        <f t="shared" si="163"/>
        <v>0</v>
      </c>
      <c r="DH964" s="20">
        <f t="shared" si="164"/>
        <v>0</v>
      </c>
      <c r="DI964" s="20">
        <f t="shared" si="165"/>
        <v>0</v>
      </c>
    </row>
    <row r="965" spans="80:113" x14ac:dyDescent="0.3">
      <c r="CB965" s="18"/>
      <c r="CC965" s="19"/>
      <c r="CD965" s="19"/>
      <c r="CE965" s="19"/>
      <c r="CF965" s="19"/>
      <c r="CG965" s="19"/>
      <c r="CH965" s="19"/>
      <c r="CI965" s="18"/>
      <c r="CJ965" s="18"/>
      <c r="CN965" s="18"/>
      <c r="CO965" s="19"/>
      <c r="CP965" s="19"/>
      <c r="CQ965" s="19"/>
      <c r="CR965" s="19"/>
      <c r="CS965" s="19"/>
      <c r="CT965" s="19"/>
      <c r="CU965" s="20"/>
      <c r="CV965" s="20"/>
      <c r="DA965" s="18">
        <f t="shared" si="157"/>
        <v>0</v>
      </c>
      <c r="DB965" s="19">
        <f t="shared" si="158"/>
        <v>0</v>
      </c>
      <c r="DC965" s="19">
        <f t="shared" si="159"/>
        <v>0</v>
      </c>
      <c r="DD965" s="19">
        <f t="shared" si="160"/>
        <v>0</v>
      </c>
      <c r="DE965" s="19">
        <f t="shared" si="161"/>
        <v>0</v>
      </c>
      <c r="DF965" s="19">
        <f t="shared" si="162"/>
        <v>0</v>
      </c>
      <c r="DG965" s="19">
        <f t="shared" si="163"/>
        <v>0</v>
      </c>
      <c r="DH965" s="20">
        <f t="shared" si="164"/>
        <v>0</v>
      </c>
      <c r="DI965" s="20">
        <f t="shared" si="165"/>
        <v>0</v>
      </c>
    </row>
    <row r="966" spans="80:113" x14ac:dyDescent="0.3">
      <c r="CB966" s="18"/>
      <c r="CC966" s="19"/>
      <c r="CD966" s="19"/>
      <c r="CE966" s="19"/>
      <c r="CF966" s="19"/>
      <c r="CG966" s="19"/>
      <c r="CH966" s="19"/>
      <c r="CI966" s="18"/>
      <c r="CJ966" s="18"/>
      <c r="CN966" s="18"/>
      <c r="CO966" s="19"/>
      <c r="CP966" s="19"/>
      <c r="CQ966" s="19"/>
      <c r="CR966" s="19"/>
      <c r="CS966" s="19"/>
      <c r="CT966" s="19"/>
      <c r="CU966" s="20"/>
      <c r="CV966" s="20"/>
      <c r="DA966" s="18">
        <f t="shared" si="157"/>
        <v>0</v>
      </c>
      <c r="DB966" s="19">
        <f t="shared" si="158"/>
        <v>0</v>
      </c>
      <c r="DC966" s="19">
        <f t="shared" si="159"/>
        <v>0</v>
      </c>
      <c r="DD966" s="19">
        <f t="shared" si="160"/>
        <v>0</v>
      </c>
      <c r="DE966" s="19">
        <f t="shared" si="161"/>
        <v>0</v>
      </c>
      <c r="DF966" s="19">
        <f t="shared" si="162"/>
        <v>0</v>
      </c>
      <c r="DG966" s="19">
        <f t="shared" si="163"/>
        <v>0</v>
      </c>
      <c r="DH966" s="20">
        <f t="shared" si="164"/>
        <v>0</v>
      </c>
      <c r="DI966" s="20">
        <f t="shared" si="165"/>
        <v>0</v>
      </c>
    </row>
    <row r="967" spans="80:113" x14ac:dyDescent="0.3">
      <c r="CB967" s="18"/>
      <c r="CC967" s="19"/>
      <c r="CD967" s="19"/>
      <c r="CE967" s="19"/>
      <c r="CF967" s="19"/>
      <c r="CG967" s="19"/>
      <c r="CH967" s="19"/>
      <c r="CI967" s="18"/>
      <c r="CJ967" s="18"/>
      <c r="CN967" s="18"/>
      <c r="CO967" s="19"/>
      <c r="CP967" s="19"/>
      <c r="CQ967" s="19"/>
      <c r="CR967" s="19"/>
      <c r="CS967" s="19"/>
      <c r="CT967" s="19"/>
      <c r="CU967" s="20"/>
      <c r="CV967" s="20"/>
      <c r="DA967" s="18">
        <f t="shared" si="157"/>
        <v>0</v>
      </c>
      <c r="DB967" s="19">
        <f t="shared" si="158"/>
        <v>0</v>
      </c>
      <c r="DC967" s="19">
        <f t="shared" si="159"/>
        <v>0</v>
      </c>
      <c r="DD967" s="19">
        <f t="shared" si="160"/>
        <v>0</v>
      </c>
      <c r="DE967" s="19">
        <f t="shared" si="161"/>
        <v>0</v>
      </c>
      <c r="DF967" s="19">
        <f t="shared" si="162"/>
        <v>0</v>
      </c>
      <c r="DG967" s="19">
        <f t="shared" si="163"/>
        <v>0</v>
      </c>
      <c r="DH967" s="20">
        <f t="shared" si="164"/>
        <v>0</v>
      </c>
      <c r="DI967" s="20">
        <f t="shared" si="165"/>
        <v>0</v>
      </c>
    </row>
    <row r="968" spans="80:113" x14ac:dyDescent="0.3">
      <c r="CB968" s="18"/>
      <c r="CC968" s="19"/>
      <c r="CD968" s="19"/>
      <c r="CE968" s="19"/>
      <c r="CF968" s="19"/>
      <c r="CG968" s="19"/>
      <c r="CH968" s="19"/>
      <c r="CI968" s="18"/>
      <c r="CJ968" s="18"/>
      <c r="CN968" s="18"/>
      <c r="CO968" s="19"/>
      <c r="CP968" s="19"/>
      <c r="CQ968" s="19"/>
      <c r="CR968" s="19"/>
      <c r="CS968" s="19"/>
      <c r="CT968" s="19"/>
      <c r="CU968" s="20"/>
      <c r="CV968" s="20"/>
      <c r="DA968" s="18">
        <f t="shared" si="157"/>
        <v>0</v>
      </c>
      <c r="DB968" s="19">
        <f t="shared" si="158"/>
        <v>0</v>
      </c>
      <c r="DC968" s="19">
        <f t="shared" si="159"/>
        <v>0</v>
      </c>
      <c r="DD968" s="19">
        <f t="shared" si="160"/>
        <v>0</v>
      </c>
      <c r="DE968" s="19">
        <f t="shared" si="161"/>
        <v>0</v>
      </c>
      <c r="DF968" s="19">
        <f t="shared" si="162"/>
        <v>0</v>
      </c>
      <c r="DG968" s="19">
        <f t="shared" si="163"/>
        <v>0</v>
      </c>
      <c r="DH968" s="20">
        <f t="shared" si="164"/>
        <v>0</v>
      </c>
      <c r="DI968" s="20">
        <f t="shared" si="165"/>
        <v>0</v>
      </c>
    </row>
    <row r="969" spans="80:113" x14ac:dyDescent="0.3">
      <c r="CB969" s="18"/>
      <c r="CC969" s="19"/>
      <c r="CD969" s="19"/>
      <c r="CE969" s="19"/>
      <c r="CF969" s="19"/>
      <c r="CG969" s="19"/>
      <c r="CH969" s="19"/>
      <c r="CI969" s="18"/>
      <c r="CJ969" s="18"/>
      <c r="CN969" s="18"/>
      <c r="CO969" s="19"/>
      <c r="CP969" s="19"/>
      <c r="CQ969" s="19"/>
      <c r="CR969" s="19"/>
      <c r="CS969" s="19"/>
      <c r="CT969" s="19"/>
      <c r="CU969" s="20"/>
      <c r="CV969" s="20"/>
      <c r="DA969" s="18">
        <f t="shared" si="157"/>
        <v>0</v>
      </c>
      <c r="DB969" s="19">
        <f t="shared" si="158"/>
        <v>0</v>
      </c>
      <c r="DC969" s="19">
        <f t="shared" si="159"/>
        <v>0</v>
      </c>
      <c r="DD969" s="19">
        <f t="shared" si="160"/>
        <v>0</v>
      </c>
      <c r="DE969" s="19">
        <f t="shared" si="161"/>
        <v>0</v>
      </c>
      <c r="DF969" s="19">
        <f t="shared" si="162"/>
        <v>0</v>
      </c>
      <c r="DG969" s="19">
        <f t="shared" si="163"/>
        <v>0</v>
      </c>
      <c r="DH969" s="20">
        <f t="shared" si="164"/>
        <v>0</v>
      </c>
      <c r="DI969" s="20">
        <f t="shared" si="165"/>
        <v>0</v>
      </c>
    </row>
    <row r="970" spans="80:113" x14ac:dyDescent="0.3">
      <c r="CB970" s="18"/>
      <c r="CC970" s="19"/>
      <c r="CD970" s="19"/>
      <c r="CE970" s="19"/>
      <c r="CF970" s="19"/>
      <c r="CG970" s="19"/>
      <c r="CH970" s="19"/>
      <c r="CI970" s="18"/>
      <c r="CJ970" s="18"/>
      <c r="CN970" s="18"/>
      <c r="CO970" s="19"/>
      <c r="CP970" s="19"/>
      <c r="CQ970" s="19"/>
      <c r="CR970" s="19"/>
      <c r="CS970" s="19"/>
      <c r="CT970" s="19"/>
      <c r="CU970" s="20"/>
      <c r="CV970" s="20"/>
      <c r="DA970" s="18">
        <f t="shared" si="157"/>
        <v>0</v>
      </c>
      <c r="DB970" s="19">
        <f t="shared" si="158"/>
        <v>0</v>
      </c>
      <c r="DC970" s="19">
        <f t="shared" si="159"/>
        <v>0</v>
      </c>
      <c r="DD970" s="19">
        <f t="shared" si="160"/>
        <v>0</v>
      </c>
      <c r="DE970" s="19">
        <f t="shared" si="161"/>
        <v>0</v>
      </c>
      <c r="DF970" s="19">
        <f t="shared" si="162"/>
        <v>0</v>
      </c>
      <c r="DG970" s="19">
        <f t="shared" si="163"/>
        <v>0</v>
      </c>
      <c r="DH970" s="20">
        <f t="shared" si="164"/>
        <v>0</v>
      </c>
      <c r="DI970" s="20">
        <f t="shared" si="165"/>
        <v>0</v>
      </c>
    </row>
    <row r="971" spans="80:113" x14ac:dyDescent="0.3">
      <c r="CB971" s="18"/>
      <c r="CC971" s="19"/>
      <c r="CD971" s="19"/>
      <c r="CE971" s="19"/>
      <c r="CF971" s="19"/>
      <c r="CG971" s="19"/>
      <c r="CH971" s="19"/>
      <c r="CI971" s="18"/>
      <c r="CJ971" s="18"/>
      <c r="CN971" s="18"/>
      <c r="CO971" s="19"/>
      <c r="CP971" s="19"/>
      <c r="CQ971" s="19"/>
      <c r="CR971" s="19"/>
      <c r="CS971" s="19"/>
      <c r="CT971" s="19"/>
      <c r="CU971" s="20"/>
      <c r="CV971" s="20"/>
      <c r="DA971" s="18">
        <f t="shared" si="157"/>
        <v>0</v>
      </c>
      <c r="DB971" s="19">
        <f t="shared" si="158"/>
        <v>0</v>
      </c>
      <c r="DC971" s="19">
        <f t="shared" si="159"/>
        <v>0</v>
      </c>
      <c r="DD971" s="19">
        <f t="shared" si="160"/>
        <v>0</v>
      </c>
      <c r="DE971" s="19">
        <f t="shared" si="161"/>
        <v>0</v>
      </c>
      <c r="DF971" s="19">
        <f t="shared" si="162"/>
        <v>0</v>
      </c>
      <c r="DG971" s="19">
        <f t="shared" si="163"/>
        <v>0</v>
      </c>
      <c r="DH971" s="20">
        <f t="shared" si="164"/>
        <v>0</v>
      </c>
      <c r="DI971" s="20">
        <f t="shared" si="165"/>
        <v>0</v>
      </c>
    </row>
    <row r="972" spans="80:113" x14ac:dyDescent="0.3">
      <c r="CB972" s="18"/>
      <c r="CC972" s="19"/>
      <c r="CD972" s="19"/>
      <c r="CE972" s="19"/>
      <c r="CF972" s="19"/>
      <c r="CG972" s="19"/>
      <c r="CH972" s="19"/>
      <c r="CI972" s="18"/>
      <c r="CJ972" s="18"/>
      <c r="CN972" s="18"/>
      <c r="CO972" s="19"/>
      <c r="CP972" s="19"/>
      <c r="CQ972" s="19"/>
      <c r="CR972" s="19"/>
      <c r="CS972" s="19"/>
      <c r="CT972" s="19"/>
      <c r="CU972" s="20"/>
      <c r="CV972" s="20"/>
      <c r="DA972" s="18">
        <f t="shared" si="157"/>
        <v>0</v>
      </c>
      <c r="DB972" s="19">
        <f t="shared" si="158"/>
        <v>0</v>
      </c>
      <c r="DC972" s="19">
        <f t="shared" si="159"/>
        <v>0</v>
      </c>
      <c r="DD972" s="19">
        <f t="shared" si="160"/>
        <v>0</v>
      </c>
      <c r="DE972" s="19">
        <f t="shared" si="161"/>
        <v>0</v>
      </c>
      <c r="DF972" s="19">
        <f t="shared" si="162"/>
        <v>0</v>
      </c>
      <c r="DG972" s="19">
        <f t="shared" si="163"/>
        <v>0</v>
      </c>
      <c r="DH972" s="20">
        <f t="shared" si="164"/>
        <v>0</v>
      </c>
      <c r="DI972" s="20">
        <f t="shared" si="165"/>
        <v>0</v>
      </c>
    </row>
    <row r="973" spans="80:113" x14ac:dyDescent="0.3">
      <c r="CB973" s="18"/>
      <c r="CC973" s="19"/>
      <c r="CD973" s="19"/>
      <c r="CE973" s="19"/>
      <c r="CF973" s="19"/>
      <c r="CG973" s="19"/>
      <c r="CH973" s="19"/>
      <c r="CI973" s="18"/>
      <c r="CJ973" s="18"/>
      <c r="CN973" s="18"/>
      <c r="CO973" s="19"/>
      <c r="CP973" s="19"/>
      <c r="CQ973" s="19"/>
      <c r="CR973" s="19"/>
      <c r="CS973" s="19"/>
      <c r="CT973" s="19"/>
      <c r="CU973" s="20"/>
      <c r="CV973" s="20"/>
      <c r="DA973" s="18">
        <f t="shared" si="157"/>
        <v>0</v>
      </c>
      <c r="DB973" s="19">
        <f t="shared" si="158"/>
        <v>0</v>
      </c>
      <c r="DC973" s="19">
        <f t="shared" si="159"/>
        <v>0</v>
      </c>
      <c r="DD973" s="19">
        <f t="shared" si="160"/>
        <v>0</v>
      </c>
      <c r="DE973" s="19">
        <f t="shared" si="161"/>
        <v>0</v>
      </c>
      <c r="DF973" s="19">
        <f t="shared" si="162"/>
        <v>0</v>
      </c>
      <c r="DG973" s="19">
        <f t="shared" si="163"/>
        <v>0</v>
      </c>
      <c r="DH973" s="20">
        <f t="shared" si="164"/>
        <v>0</v>
      </c>
      <c r="DI973" s="20">
        <f t="shared" si="165"/>
        <v>0</v>
      </c>
    </row>
    <row r="974" spans="80:113" x14ac:dyDescent="0.3">
      <c r="CB974" s="18"/>
      <c r="CC974" s="19"/>
      <c r="CD974" s="19"/>
      <c r="CE974" s="19"/>
      <c r="CF974" s="19"/>
      <c r="CG974" s="19"/>
      <c r="CH974" s="19"/>
      <c r="CI974" s="18"/>
      <c r="CJ974" s="18"/>
      <c r="CN974" s="18"/>
      <c r="CO974" s="19"/>
      <c r="CP974" s="19"/>
      <c r="CQ974" s="19"/>
      <c r="CR974" s="19"/>
      <c r="CS974" s="19"/>
      <c r="CT974" s="19"/>
      <c r="CU974" s="20"/>
      <c r="CV974" s="20"/>
      <c r="DA974" s="18">
        <f t="shared" si="157"/>
        <v>0</v>
      </c>
      <c r="DB974" s="19">
        <f t="shared" si="158"/>
        <v>0</v>
      </c>
      <c r="DC974" s="19">
        <f t="shared" si="159"/>
        <v>0</v>
      </c>
      <c r="DD974" s="19">
        <f t="shared" si="160"/>
        <v>0</v>
      </c>
      <c r="DE974" s="19">
        <f t="shared" si="161"/>
        <v>0</v>
      </c>
      <c r="DF974" s="19">
        <f t="shared" si="162"/>
        <v>0</v>
      </c>
      <c r="DG974" s="19">
        <f t="shared" si="163"/>
        <v>0</v>
      </c>
      <c r="DH974" s="20">
        <f t="shared" si="164"/>
        <v>0</v>
      </c>
      <c r="DI974" s="20">
        <f t="shared" si="165"/>
        <v>0</v>
      </c>
    </row>
    <row r="975" spans="80:113" x14ac:dyDescent="0.3">
      <c r="CB975" s="18"/>
      <c r="CC975" s="19"/>
      <c r="CD975" s="19"/>
      <c r="CE975" s="19"/>
      <c r="CF975" s="19"/>
      <c r="CG975" s="19"/>
      <c r="CH975" s="19"/>
      <c r="CI975" s="18"/>
      <c r="CJ975" s="18"/>
      <c r="CN975" s="18"/>
      <c r="CO975" s="19"/>
      <c r="CP975" s="19"/>
      <c r="CQ975" s="19"/>
      <c r="CR975" s="19"/>
      <c r="CS975" s="19"/>
      <c r="CT975" s="19"/>
      <c r="CU975" s="20"/>
      <c r="CV975" s="20"/>
      <c r="DA975" s="18">
        <f t="shared" si="157"/>
        <v>0</v>
      </c>
      <c r="DB975" s="19">
        <f t="shared" si="158"/>
        <v>0</v>
      </c>
      <c r="DC975" s="19">
        <f t="shared" si="159"/>
        <v>0</v>
      </c>
      <c r="DD975" s="19">
        <f t="shared" si="160"/>
        <v>0</v>
      </c>
      <c r="DE975" s="19">
        <f t="shared" si="161"/>
        <v>0</v>
      </c>
      <c r="DF975" s="19">
        <f t="shared" si="162"/>
        <v>0</v>
      </c>
      <c r="DG975" s="19">
        <f t="shared" si="163"/>
        <v>0</v>
      </c>
      <c r="DH975" s="20">
        <f t="shared" si="164"/>
        <v>0</v>
      </c>
      <c r="DI975" s="20">
        <f t="shared" si="165"/>
        <v>0</v>
      </c>
    </row>
    <row r="976" spans="80:113" x14ac:dyDescent="0.3">
      <c r="CB976" s="18"/>
      <c r="CC976" s="19"/>
      <c r="CD976" s="19"/>
      <c r="CE976" s="19"/>
      <c r="CF976" s="19"/>
      <c r="CG976" s="19"/>
      <c r="CH976" s="19"/>
      <c r="CI976" s="18"/>
      <c r="CJ976" s="18"/>
      <c r="CN976" s="18"/>
      <c r="CO976" s="19"/>
      <c r="CP976" s="19"/>
      <c r="CQ976" s="19"/>
      <c r="CR976" s="19"/>
      <c r="CS976" s="19"/>
      <c r="CT976" s="19"/>
      <c r="CU976" s="20"/>
      <c r="CV976" s="20"/>
      <c r="DA976" s="18">
        <f t="shared" si="157"/>
        <v>0</v>
      </c>
      <c r="DB976" s="19">
        <f t="shared" si="158"/>
        <v>0</v>
      </c>
      <c r="DC976" s="19">
        <f t="shared" si="159"/>
        <v>0</v>
      </c>
      <c r="DD976" s="19">
        <f t="shared" si="160"/>
        <v>0</v>
      </c>
      <c r="DE976" s="19">
        <f t="shared" si="161"/>
        <v>0</v>
      </c>
      <c r="DF976" s="19">
        <f t="shared" si="162"/>
        <v>0</v>
      </c>
      <c r="DG976" s="19">
        <f t="shared" si="163"/>
        <v>0</v>
      </c>
      <c r="DH976" s="20">
        <f t="shared" si="164"/>
        <v>0</v>
      </c>
      <c r="DI976" s="20">
        <f t="shared" si="165"/>
        <v>0</v>
      </c>
    </row>
    <row r="977" spans="80:113" x14ac:dyDescent="0.3">
      <c r="CB977" s="18"/>
      <c r="CC977" s="19"/>
      <c r="CD977" s="19"/>
      <c r="CE977" s="19"/>
      <c r="CF977" s="19"/>
      <c r="CG977" s="19"/>
      <c r="CH977" s="19"/>
      <c r="CI977" s="18"/>
      <c r="CJ977" s="18"/>
      <c r="CN977" s="18"/>
      <c r="CO977" s="19"/>
      <c r="CP977" s="19"/>
      <c r="CQ977" s="19"/>
      <c r="CR977" s="19"/>
      <c r="CS977" s="19"/>
      <c r="CT977" s="19"/>
      <c r="CU977" s="20"/>
      <c r="CV977" s="20"/>
      <c r="DA977" s="18">
        <f t="shared" si="157"/>
        <v>0</v>
      </c>
      <c r="DB977" s="19">
        <f t="shared" si="158"/>
        <v>0</v>
      </c>
      <c r="DC977" s="19">
        <f t="shared" si="159"/>
        <v>0</v>
      </c>
      <c r="DD977" s="19">
        <f t="shared" si="160"/>
        <v>0</v>
      </c>
      <c r="DE977" s="19">
        <f t="shared" si="161"/>
        <v>0</v>
      </c>
      <c r="DF977" s="19">
        <f t="shared" si="162"/>
        <v>0</v>
      </c>
      <c r="DG977" s="19">
        <f t="shared" si="163"/>
        <v>0</v>
      </c>
      <c r="DH977" s="20">
        <f t="shared" si="164"/>
        <v>0</v>
      </c>
      <c r="DI977" s="20">
        <f t="shared" si="165"/>
        <v>0</v>
      </c>
    </row>
    <row r="978" spans="80:113" x14ac:dyDescent="0.3">
      <c r="CB978" s="18"/>
      <c r="CC978" s="19"/>
      <c r="CD978" s="19"/>
      <c r="CE978" s="19"/>
      <c r="CF978" s="19"/>
      <c r="CG978" s="19"/>
      <c r="CH978" s="19"/>
      <c r="CI978" s="18"/>
      <c r="CJ978" s="18"/>
      <c r="CN978" s="18"/>
      <c r="CO978" s="19"/>
      <c r="CP978" s="19"/>
      <c r="CQ978" s="19"/>
      <c r="CR978" s="19"/>
      <c r="CS978" s="19"/>
      <c r="CT978" s="19"/>
      <c r="CU978" s="20"/>
      <c r="CV978" s="20"/>
      <c r="DA978" s="18">
        <f t="shared" si="157"/>
        <v>0</v>
      </c>
      <c r="DB978" s="19">
        <f t="shared" si="158"/>
        <v>0</v>
      </c>
      <c r="DC978" s="19">
        <f t="shared" si="159"/>
        <v>0</v>
      </c>
      <c r="DD978" s="19">
        <f t="shared" si="160"/>
        <v>0</v>
      </c>
      <c r="DE978" s="19">
        <f t="shared" si="161"/>
        <v>0</v>
      </c>
      <c r="DF978" s="19">
        <f t="shared" si="162"/>
        <v>0</v>
      </c>
      <c r="DG978" s="19">
        <f t="shared" si="163"/>
        <v>0</v>
      </c>
      <c r="DH978" s="20">
        <f t="shared" si="164"/>
        <v>0</v>
      </c>
      <c r="DI978" s="20">
        <f t="shared" si="165"/>
        <v>0</v>
      </c>
    </row>
    <row r="979" spans="80:113" x14ac:dyDescent="0.3">
      <c r="CB979" s="18"/>
      <c r="CC979" s="19"/>
      <c r="CD979" s="19"/>
      <c r="CE979" s="19"/>
      <c r="CF979" s="19"/>
      <c r="CG979" s="19"/>
      <c r="CH979" s="19"/>
      <c r="CI979" s="18"/>
      <c r="CJ979" s="18"/>
      <c r="CN979" s="18"/>
      <c r="CO979" s="19"/>
      <c r="CP979" s="19"/>
      <c r="CQ979" s="19"/>
      <c r="CR979" s="19"/>
      <c r="CS979" s="19"/>
      <c r="CT979" s="19"/>
      <c r="CU979" s="20"/>
      <c r="CV979" s="20"/>
      <c r="DA979" s="18">
        <f t="shared" si="157"/>
        <v>0</v>
      </c>
      <c r="DB979" s="19">
        <f t="shared" si="158"/>
        <v>0</v>
      </c>
      <c r="DC979" s="19">
        <f t="shared" si="159"/>
        <v>0</v>
      </c>
      <c r="DD979" s="19">
        <f t="shared" si="160"/>
        <v>0</v>
      </c>
      <c r="DE979" s="19">
        <f t="shared" si="161"/>
        <v>0</v>
      </c>
      <c r="DF979" s="19">
        <f t="shared" si="162"/>
        <v>0</v>
      </c>
      <c r="DG979" s="19">
        <f t="shared" si="163"/>
        <v>0</v>
      </c>
      <c r="DH979" s="20">
        <f t="shared" si="164"/>
        <v>0</v>
      </c>
      <c r="DI979" s="20">
        <f t="shared" si="165"/>
        <v>0</v>
      </c>
    </row>
    <row r="980" spans="80:113" x14ac:dyDescent="0.3">
      <c r="CB980" s="18"/>
      <c r="CC980" s="19"/>
      <c r="CD980" s="19"/>
      <c r="CE980" s="19"/>
      <c r="CF980" s="19"/>
      <c r="CG980" s="19"/>
      <c r="CH980" s="19"/>
      <c r="CI980" s="18"/>
      <c r="CJ980" s="18"/>
      <c r="CN980" s="18"/>
      <c r="CO980" s="19"/>
      <c r="CP980" s="19"/>
      <c r="CQ980" s="19"/>
      <c r="CR980" s="19"/>
      <c r="CS980" s="19"/>
      <c r="CT980" s="19"/>
      <c r="CU980" s="20"/>
      <c r="CV980" s="20"/>
      <c r="DA980" s="18">
        <f t="shared" si="157"/>
        <v>0</v>
      </c>
      <c r="DB980" s="19">
        <f t="shared" si="158"/>
        <v>0</v>
      </c>
      <c r="DC980" s="19">
        <f t="shared" si="159"/>
        <v>0</v>
      </c>
      <c r="DD980" s="19">
        <f t="shared" si="160"/>
        <v>0</v>
      </c>
      <c r="DE980" s="19">
        <f t="shared" si="161"/>
        <v>0</v>
      </c>
      <c r="DF980" s="19">
        <f t="shared" si="162"/>
        <v>0</v>
      </c>
      <c r="DG980" s="19">
        <f t="shared" si="163"/>
        <v>0</v>
      </c>
      <c r="DH980" s="20">
        <f t="shared" si="164"/>
        <v>0</v>
      </c>
      <c r="DI980" s="20">
        <f t="shared" si="165"/>
        <v>0</v>
      </c>
    </row>
    <row r="981" spans="80:113" x14ac:dyDescent="0.3">
      <c r="CB981" s="18"/>
      <c r="CC981" s="19"/>
      <c r="CD981" s="19"/>
      <c r="CE981" s="19"/>
      <c r="CF981" s="19"/>
      <c r="CG981" s="19"/>
      <c r="CH981" s="19"/>
      <c r="CI981" s="18"/>
      <c r="CJ981" s="18"/>
      <c r="CN981" s="18"/>
      <c r="CO981" s="19"/>
      <c r="CP981" s="19"/>
      <c r="CQ981" s="19"/>
      <c r="CR981" s="19"/>
      <c r="CS981" s="19"/>
      <c r="CT981" s="19"/>
      <c r="CU981" s="20"/>
      <c r="CV981" s="20"/>
      <c r="DA981" s="18">
        <f t="shared" si="157"/>
        <v>0</v>
      </c>
      <c r="DB981" s="19">
        <f t="shared" si="158"/>
        <v>0</v>
      </c>
      <c r="DC981" s="19">
        <f t="shared" si="159"/>
        <v>0</v>
      </c>
      <c r="DD981" s="19">
        <f t="shared" si="160"/>
        <v>0</v>
      </c>
      <c r="DE981" s="19">
        <f t="shared" si="161"/>
        <v>0</v>
      </c>
      <c r="DF981" s="19">
        <f t="shared" si="162"/>
        <v>0</v>
      </c>
      <c r="DG981" s="19">
        <f t="shared" si="163"/>
        <v>0</v>
      </c>
      <c r="DH981" s="20">
        <f t="shared" si="164"/>
        <v>0</v>
      </c>
      <c r="DI981" s="20">
        <f t="shared" si="165"/>
        <v>0</v>
      </c>
    </row>
    <row r="982" spans="80:113" x14ac:dyDescent="0.3">
      <c r="CB982" s="18"/>
      <c r="CC982" s="19"/>
      <c r="CD982" s="19"/>
      <c r="CE982" s="19"/>
      <c r="CF982" s="19"/>
      <c r="CG982" s="19"/>
      <c r="CH982" s="19"/>
      <c r="CI982" s="18"/>
      <c r="CJ982" s="18"/>
      <c r="CN982" s="18"/>
      <c r="CO982" s="19"/>
      <c r="CP982" s="19"/>
      <c r="CQ982" s="19"/>
      <c r="CR982" s="19"/>
      <c r="CS982" s="19"/>
      <c r="CT982" s="19"/>
      <c r="CU982" s="20"/>
      <c r="CV982" s="20"/>
      <c r="DA982" s="18">
        <f t="shared" si="157"/>
        <v>0</v>
      </c>
      <c r="DB982" s="19">
        <f t="shared" si="158"/>
        <v>0</v>
      </c>
      <c r="DC982" s="19">
        <f t="shared" si="159"/>
        <v>0</v>
      </c>
      <c r="DD982" s="19">
        <f t="shared" si="160"/>
        <v>0</v>
      </c>
      <c r="DE982" s="19">
        <f t="shared" si="161"/>
        <v>0</v>
      </c>
      <c r="DF982" s="19">
        <f t="shared" si="162"/>
        <v>0</v>
      </c>
      <c r="DG982" s="19">
        <f t="shared" si="163"/>
        <v>0</v>
      </c>
      <c r="DH982" s="20">
        <f t="shared" si="164"/>
        <v>0</v>
      </c>
      <c r="DI982" s="20">
        <f t="shared" si="165"/>
        <v>0</v>
      </c>
    </row>
    <row r="983" spans="80:113" x14ac:dyDescent="0.3">
      <c r="CB983" s="18"/>
      <c r="CC983" s="19"/>
      <c r="CD983" s="19"/>
      <c r="CE983" s="19"/>
      <c r="CF983" s="19"/>
      <c r="CG983" s="19"/>
      <c r="CH983" s="19"/>
      <c r="CI983" s="18"/>
      <c r="CJ983" s="18"/>
      <c r="CN983" s="18"/>
      <c r="CO983" s="19"/>
      <c r="CP983" s="19"/>
      <c r="CQ983" s="19"/>
      <c r="CR983" s="19"/>
      <c r="CS983" s="19"/>
      <c r="CT983" s="19"/>
      <c r="CU983" s="20"/>
      <c r="CV983" s="20"/>
      <c r="DA983" s="18">
        <f t="shared" si="157"/>
        <v>0</v>
      </c>
      <c r="DB983" s="19">
        <f t="shared" si="158"/>
        <v>0</v>
      </c>
      <c r="DC983" s="19">
        <f t="shared" si="159"/>
        <v>0</v>
      </c>
      <c r="DD983" s="19">
        <f t="shared" si="160"/>
        <v>0</v>
      </c>
      <c r="DE983" s="19">
        <f t="shared" si="161"/>
        <v>0</v>
      </c>
      <c r="DF983" s="19">
        <f t="shared" si="162"/>
        <v>0</v>
      </c>
      <c r="DG983" s="19">
        <f t="shared" si="163"/>
        <v>0</v>
      </c>
      <c r="DH983" s="20">
        <f t="shared" si="164"/>
        <v>0</v>
      </c>
      <c r="DI983" s="20">
        <f t="shared" si="165"/>
        <v>0</v>
      </c>
    </row>
    <row r="984" spans="80:113" x14ac:dyDescent="0.3">
      <c r="CB984" s="18"/>
      <c r="CC984" s="19"/>
      <c r="CD984" s="19"/>
      <c r="CE984" s="19"/>
      <c r="CF984" s="19"/>
      <c r="CG984" s="19"/>
      <c r="CH984" s="19"/>
      <c r="CI984" s="18"/>
      <c r="CJ984" s="18"/>
      <c r="CN984" s="18"/>
      <c r="CO984" s="19"/>
      <c r="CP984" s="19"/>
      <c r="CQ984" s="19"/>
      <c r="CR984" s="19"/>
      <c r="CS984" s="19"/>
      <c r="CT984" s="19"/>
      <c r="CU984" s="20"/>
      <c r="CV984" s="20"/>
      <c r="DA984" s="18">
        <f t="shared" si="157"/>
        <v>0</v>
      </c>
      <c r="DB984" s="19">
        <f t="shared" si="158"/>
        <v>0</v>
      </c>
      <c r="DC984" s="19">
        <f t="shared" si="159"/>
        <v>0</v>
      </c>
      <c r="DD984" s="19">
        <f t="shared" si="160"/>
        <v>0</v>
      </c>
      <c r="DE984" s="19">
        <f t="shared" si="161"/>
        <v>0</v>
      </c>
      <c r="DF984" s="19">
        <f t="shared" si="162"/>
        <v>0</v>
      </c>
      <c r="DG984" s="19">
        <f t="shared" si="163"/>
        <v>0</v>
      </c>
      <c r="DH984" s="20">
        <f t="shared" si="164"/>
        <v>0</v>
      </c>
      <c r="DI984" s="20">
        <f t="shared" si="165"/>
        <v>0</v>
      </c>
    </row>
    <row r="985" spans="80:113" x14ac:dyDescent="0.3">
      <c r="CB985" s="18"/>
      <c r="CC985" s="19"/>
      <c r="CD985" s="19"/>
      <c r="CE985" s="19"/>
      <c r="CF985" s="19"/>
      <c r="CG985" s="19"/>
      <c r="CH985" s="19"/>
      <c r="CI985" s="18"/>
      <c r="CJ985" s="18"/>
      <c r="CN985" s="18"/>
      <c r="CO985" s="19"/>
      <c r="CP985" s="19"/>
      <c r="CQ985" s="19"/>
      <c r="CR985" s="19"/>
      <c r="CS985" s="19"/>
      <c r="CT985" s="19"/>
      <c r="CU985" s="20"/>
      <c r="CV985" s="20"/>
      <c r="DA985" s="18">
        <f t="shared" si="157"/>
        <v>0</v>
      </c>
      <c r="DB985" s="19">
        <f t="shared" si="158"/>
        <v>0</v>
      </c>
      <c r="DC985" s="19">
        <f t="shared" si="159"/>
        <v>0</v>
      </c>
      <c r="DD985" s="19">
        <f t="shared" si="160"/>
        <v>0</v>
      </c>
      <c r="DE985" s="19">
        <f t="shared" si="161"/>
        <v>0</v>
      </c>
      <c r="DF985" s="19">
        <f t="shared" si="162"/>
        <v>0</v>
      </c>
      <c r="DG985" s="19">
        <f t="shared" si="163"/>
        <v>0</v>
      </c>
      <c r="DH985" s="20">
        <f t="shared" si="164"/>
        <v>0</v>
      </c>
      <c r="DI985" s="20">
        <f t="shared" si="165"/>
        <v>0</v>
      </c>
    </row>
    <row r="986" spans="80:113" x14ac:dyDescent="0.3">
      <c r="CB986" s="18"/>
      <c r="CC986" s="19"/>
      <c r="CD986" s="19"/>
      <c r="CE986" s="19"/>
      <c r="CF986" s="19"/>
      <c r="CG986" s="19"/>
      <c r="CH986" s="19"/>
      <c r="CI986" s="18"/>
      <c r="CJ986" s="18"/>
      <c r="CN986" s="18"/>
      <c r="CO986" s="19"/>
      <c r="CP986" s="19"/>
      <c r="CQ986" s="19"/>
      <c r="CR986" s="19"/>
      <c r="CS986" s="19"/>
      <c r="CT986" s="19"/>
      <c r="CU986" s="20"/>
      <c r="CV986" s="20"/>
      <c r="DA986" s="18">
        <f t="shared" si="157"/>
        <v>0</v>
      </c>
      <c r="DB986" s="19">
        <f t="shared" si="158"/>
        <v>0</v>
      </c>
      <c r="DC986" s="19">
        <f t="shared" si="159"/>
        <v>0</v>
      </c>
      <c r="DD986" s="19">
        <f t="shared" si="160"/>
        <v>0</v>
      </c>
      <c r="DE986" s="19">
        <f t="shared" si="161"/>
        <v>0</v>
      </c>
      <c r="DF986" s="19">
        <f t="shared" si="162"/>
        <v>0</v>
      </c>
      <c r="DG986" s="19">
        <f t="shared" si="163"/>
        <v>0</v>
      </c>
      <c r="DH986" s="20">
        <f t="shared" si="164"/>
        <v>0</v>
      </c>
      <c r="DI986" s="20">
        <f t="shared" si="165"/>
        <v>0</v>
      </c>
    </row>
    <row r="987" spans="80:113" x14ac:dyDescent="0.3">
      <c r="CB987" s="18"/>
      <c r="CC987" s="19"/>
      <c r="CD987" s="19"/>
      <c r="CE987" s="19"/>
      <c r="CF987" s="19"/>
      <c r="CG987" s="19"/>
      <c r="CH987" s="19"/>
      <c r="CI987" s="18"/>
      <c r="CJ987" s="18"/>
      <c r="CN987" s="18"/>
      <c r="CO987" s="19"/>
      <c r="CP987" s="19"/>
      <c r="CQ987" s="19"/>
      <c r="CR987" s="19"/>
      <c r="CS987" s="19"/>
      <c r="CT987" s="19"/>
      <c r="CU987" s="20"/>
      <c r="CV987" s="20"/>
      <c r="DA987" s="18">
        <f t="shared" si="157"/>
        <v>0</v>
      </c>
      <c r="DB987" s="19">
        <f t="shared" si="158"/>
        <v>0</v>
      </c>
      <c r="DC987" s="19">
        <f t="shared" si="159"/>
        <v>0</v>
      </c>
      <c r="DD987" s="19">
        <f t="shared" si="160"/>
        <v>0</v>
      </c>
      <c r="DE987" s="19">
        <f t="shared" si="161"/>
        <v>0</v>
      </c>
      <c r="DF987" s="19">
        <f t="shared" si="162"/>
        <v>0</v>
      </c>
      <c r="DG987" s="19">
        <f t="shared" si="163"/>
        <v>0</v>
      </c>
      <c r="DH987" s="20">
        <f t="shared" si="164"/>
        <v>0</v>
      </c>
      <c r="DI987" s="20">
        <f t="shared" si="165"/>
        <v>0</v>
      </c>
    </row>
    <row r="988" spans="80:113" x14ac:dyDescent="0.3">
      <c r="CB988" s="18"/>
      <c r="CC988" s="19"/>
      <c r="CD988" s="19"/>
      <c r="CE988" s="19"/>
      <c r="CF988" s="19"/>
      <c r="CG988" s="19"/>
      <c r="CH988" s="19"/>
      <c r="CI988" s="18"/>
      <c r="CJ988" s="18"/>
      <c r="CN988" s="18"/>
      <c r="CO988" s="19"/>
      <c r="CP988" s="19"/>
      <c r="CQ988" s="19"/>
      <c r="CR988" s="19"/>
      <c r="CS988" s="19"/>
      <c r="CT988" s="19"/>
      <c r="CU988" s="20"/>
      <c r="CV988" s="20"/>
      <c r="DA988" s="18">
        <f t="shared" si="157"/>
        <v>0</v>
      </c>
      <c r="DB988" s="19">
        <f t="shared" si="158"/>
        <v>0</v>
      </c>
      <c r="DC988" s="19">
        <f t="shared" si="159"/>
        <v>0</v>
      </c>
      <c r="DD988" s="19">
        <f t="shared" si="160"/>
        <v>0</v>
      </c>
      <c r="DE988" s="19">
        <f t="shared" si="161"/>
        <v>0</v>
      </c>
      <c r="DF988" s="19">
        <f t="shared" si="162"/>
        <v>0</v>
      </c>
      <c r="DG988" s="19">
        <f t="shared" si="163"/>
        <v>0</v>
      </c>
      <c r="DH988" s="20">
        <f t="shared" si="164"/>
        <v>0</v>
      </c>
      <c r="DI988" s="20">
        <f t="shared" si="165"/>
        <v>0</v>
      </c>
    </row>
    <row r="989" spans="80:113" x14ac:dyDescent="0.3">
      <c r="CB989" s="18"/>
      <c r="CC989" s="19"/>
      <c r="CD989" s="19"/>
      <c r="CE989" s="19"/>
      <c r="CF989" s="19"/>
      <c r="CG989" s="19"/>
      <c r="CH989" s="19"/>
      <c r="CI989" s="18"/>
      <c r="CJ989" s="18"/>
      <c r="CN989" s="18"/>
      <c r="CO989" s="19"/>
      <c r="CP989" s="19"/>
      <c r="CQ989" s="19"/>
      <c r="CR989" s="19"/>
      <c r="CS989" s="19"/>
      <c r="CT989" s="19"/>
      <c r="CU989" s="20"/>
      <c r="CV989" s="20"/>
      <c r="DA989" s="18">
        <f t="shared" si="157"/>
        <v>0</v>
      </c>
      <c r="DB989" s="19">
        <f t="shared" si="158"/>
        <v>0</v>
      </c>
      <c r="DC989" s="19">
        <f t="shared" si="159"/>
        <v>0</v>
      </c>
      <c r="DD989" s="19">
        <f t="shared" si="160"/>
        <v>0</v>
      </c>
      <c r="DE989" s="19">
        <f t="shared" si="161"/>
        <v>0</v>
      </c>
      <c r="DF989" s="19">
        <f t="shared" si="162"/>
        <v>0</v>
      </c>
      <c r="DG989" s="19">
        <f t="shared" si="163"/>
        <v>0</v>
      </c>
      <c r="DH989" s="20">
        <f t="shared" si="164"/>
        <v>0</v>
      </c>
      <c r="DI989" s="20">
        <f t="shared" si="165"/>
        <v>0</v>
      </c>
    </row>
    <row r="990" spans="80:113" x14ac:dyDescent="0.3">
      <c r="CB990" s="18"/>
      <c r="CC990" s="19"/>
      <c r="CD990" s="19"/>
      <c r="CE990" s="19"/>
      <c r="CF990" s="19"/>
      <c r="CG990" s="19"/>
      <c r="CH990" s="19"/>
      <c r="CI990" s="18"/>
      <c r="CJ990" s="18"/>
      <c r="CN990" s="18"/>
      <c r="CO990" s="19"/>
      <c r="CP990" s="19"/>
      <c r="CQ990" s="19"/>
      <c r="CR990" s="19"/>
      <c r="CS990" s="19"/>
      <c r="CT990" s="19"/>
      <c r="CU990" s="20"/>
      <c r="CV990" s="20"/>
      <c r="DA990" s="18">
        <f t="shared" si="157"/>
        <v>0</v>
      </c>
      <c r="DB990" s="19">
        <f t="shared" si="158"/>
        <v>0</v>
      </c>
      <c r="DC990" s="19">
        <f t="shared" si="159"/>
        <v>0</v>
      </c>
      <c r="DD990" s="19">
        <f t="shared" si="160"/>
        <v>0</v>
      </c>
      <c r="DE990" s="19">
        <f t="shared" si="161"/>
        <v>0</v>
      </c>
      <c r="DF990" s="19">
        <f t="shared" si="162"/>
        <v>0</v>
      </c>
      <c r="DG990" s="19">
        <f t="shared" si="163"/>
        <v>0</v>
      </c>
      <c r="DH990" s="20">
        <f t="shared" si="164"/>
        <v>0</v>
      </c>
      <c r="DI990" s="20">
        <f t="shared" si="165"/>
        <v>0</v>
      </c>
    </row>
    <row r="991" spans="80:113" x14ac:dyDescent="0.3">
      <c r="CB991" s="18"/>
      <c r="CC991" s="19"/>
      <c r="CD991" s="19"/>
      <c r="CE991" s="19"/>
      <c r="CF991" s="19"/>
      <c r="CG991" s="19"/>
      <c r="CH991" s="19"/>
      <c r="CI991" s="18"/>
      <c r="CJ991" s="18"/>
      <c r="CN991" s="18"/>
      <c r="CO991" s="19"/>
      <c r="CP991" s="19"/>
      <c r="CQ991" s="19"/>
      <c r="CR991" s="19"/>
      <c r="CS991" s="19"/>
      <c r="CT991" s="19"/>
      <c r="CU991" s="20"/>
      <c r="CV991" s="20"/>
      <c r="DA991" s="18">
        <f t="shared" si="157"/>
        <v>0</v>
      </c>
      <c r="DB991" s="19">
        <f t="shared" si="158"/>
        <v>0</v>
      </c>
      <c r="DC991" s="19">
        <f t="shared" si="159"/>
        <v>0</v>
      </c>
      <c r="DD991" s="19">
        <f t="shared" si="160"/>
        <v>0</v>
      </c>
      <c r="DE991" s="19">
        <f t="shared" si="161"/>
        <v>0</v>
      </c>
      <c r="DF991" s="19">
        <f t="shared" si="162"/>
        <v>0</v>
      </c>
      <c r="DG991" s="19">
        <f t="shared" si="163"/>
        <v>0</v>
      </c>
      <c r="DH991" s="20">
        <f t="shared" si="164"/>
        <v>0</v>
      </c>
      <c r="DI991" s="20">
        <f t="shared" si="165"/>
        <v>0</v>
      </c>
    </row>
    <row r="992" spans="80:113" x14ac:dyDescent="0.3">
      <c r="CB992" s="18"/>
      <c r="CC992" s="19"/>
      <c r="CD992" s="19"/>
      <c r="CE992" s="19"/>
      <c r="CF992" s="19"/>
      <c r="CG992" s="19"/>
      <c r="CH992" s="19"/>
      <c r="CI992" s="18"/>
      <c r="CJ992" s="18"/>
      <c r="CN992" s="18"/>
      <c r="CO992" s="19"/>
      <c r="CP992" s="19"/>
      <c r="CQ992" s="19"/>
      <c r="CR992" s="19"/>
      <c r="CS992" s="19"/>
      <c r="CT992" s="19"/>
      <c r="CU992" s="20"/>
      <c r="CV992" s="20"/>
      <c r="DA992" s="18">
        <f t="shared" si="157"/>
        <v>0</v>
      </c>
      <c r="DB992" s="19">
        <f t="shared" si="158"/>
        <v>0</v>
      </c>
      <c r="DC992" s="19">
        <f t="shared" si="159"/>
        <v>0</v>
      </c>
      <c r="DD992" s="19">
        <f t="shared" si="160"/>
        <v>0</v>
      </c>
      <c r="DE992" s="19">
        <f t="shared" si="161"/>
        <v>0</v>
      </c>
      <c r="DF992" s="19">
        <f t="shared" si="162"/>
        <v>0</v>
      </c>
      <c r="DG992" s="19">
        <f t="shared" si="163"/>
        <v>0</v>
      </c>
      <c r="DH992" s="20">
        <f t="shared" si="164"/>
        <v>0</v>
      </c>
      <c r="DI992" s="20">
        <f t="shared" si="165"/>
        <v>0</v>
      </c>
    </row>
    <row r="993" spans="80:113" x14ac:dyDescent="0.3">
      <c r="CB993" s="18"/>
      <c r="CC993" s="19"/>
      <c r="CD993" s="19"/>
      <c r="CE993" s="19"/>
      <c r="CF993" s="19"/>
      <c r="CG993" s="19"/>
      <c r="CH993" s="19"/>
      <c r="CI993" s="18"/>
      <c r="CJ993" s="18"/>
      <c r="CN993" s="18"/>
      <c r="CO993" s="19"/>
      <c r="CP993" s="19"/>
      <c r="CQ993" s="19"/>
      <c r="CR993" s="19"/>
      <c r="CS993" s="19"/>
      <c r="CT993" s="19"/>
      <c r="CU993" s="20"/>
      <c r="CV993" s="20"/>
      <c r="DA993" s="18">
        <f t="shared" si="157"/>
        <v>0</v>
      </c>
      <c r="DB993" s="19">
        <f t="shared" si="158"/>
        <v>0</v>
      </c>
      <c r="DC993" s="19">
        <f t="shared" si="159"/>
        <v>0</v>
      </c>
      <c r="DD993" s="19">
        <f t="shared" si="160"/>
        <v>0</v>
      </c>
      <c r="DE993" s="19">
        <f t="shared" si="161"/>
        <v>0</v>
      </c>
      <c r="DF993" s="19">
        <f t="shared" si="162"/>
        <v>0</v>
      </c>
      <c r="DG993" s="19">
        <f t="shared" si="163"/>
        <v>0</v>
      </c>
      <c r="DH993" s="20">
        <f t="shared" si="164"/>
        <v>0</v>
      </c>
      <c r="DI993" s="20">
        <f t="shared" si="165"/>
        <v>0</v>
      </c>
    </row>
    <row r="994" spans="80:113" x14ac:dyDescent="0.3">
      <c r="CB994" s="18"/>
      <c r="CC994" s="19"/>
      <c r="CD994" s="19"/>
      <c r="CE994" s="19"/>
      <c r="CF994" s="19"/>
      <c r="CG994" s="19"/>
      <c r="CH994" s="19"/>
      <c r="CI994" s="18"/>
      <c r="CJ994" s="18"/>
      <c r="CN994" s="18"/>
      <c r="CO994" s="19"/>
      <c r="CP994" s="19"/>
      <c r="CQ994" s="19"/>
      <c r="CR994" s="19"/>
      <c r="CS994" s="19"/>
      <c r="CT994" s="19"/>
      <c r="CU994" s="20"/>
      <c r="CV994" s="20"/>
      <c r="DA994" s="18">
        <f t="shared" si="157"/>
        <v>0</v>
      </c>
      <c r="DB994" s="19">
        <f t="shared" si="158"/>
        <v>0</v>
      </c>
      <c r="DC994" s="19">
        <f t="shared" si="159"/>
        <v>0</v>
      </c>
      <c r="DD994" s="19">
        <f t="shared" si="160"/>
        <v>0</v>
      </c>
      <c r="DE994" s="19">
        <f t="shared" si="161"/>
        <v>0</v>
      </c>
      <c r="DF994" s="19">
        <f t="shared" si="162"/>
        <v>0</v>
      </c>
      <c r="DG994" s="19">
        <f t="shared" si="163"/>
        <v>0</v>
      </c>
      <c r="DH994" s="20">
        <f t="shared" si="164"/>
        <v>0</v>
      </c>
      <c r="DI994" s="20">
        <f t="shared" si="165"/>
        <v>0</v>
      </c>
    </row>
    <row r="995" spans="80:113" x14ac:dyDescent="0.3">
      <c r="CB995" s="18"/>
      <c r="CC995" s="19"/>
      <c r="CD995" s="19"/>
      <c r="CE995" s="19"/>
      <c r="CF995" s="19"/>
      <c r="CG995" s="19"/>
      <c r="CH995" s="19"/>
      <c r="CI995" s="18"/>
      <c r="CJ995" s="18"/>
      <c r="CN995" s="18"/>
      <c r="CO995" s="19"/>
      <c r="CP995" s="19"/>
      <c r="CQ995" s="19"/>
      <c r="CR995" s="19"/>
      <c r="CS995" s="19"/>
      <c r="CT995" s="19"/>
      <c r="CU995" s="20"/>
      <c r="CV995" s="20"/>
      <c r="DA995" s="18">
        <f t="shared" si="157"/>
        <v>0</v>
      </c>
      <c r="DB995" s="19">
        <f t="shared" si="158"/>
        <v>0</v>
      </c>
      <c r="DC995" s="19">
        <f t="shared" si="159"/>
        <v>0</v>
      </c>
      <c r="DD995" s="19">
        <f t="shared" si="160"/>
        <v>0</v>
      </c>
      <c r="DE995" s="19">
        <f t="shared" si="161"/>
        <v>0</v>
      </c>
      <c r="DF995" s="19">
        <f t="shared" si="162"/>
        <v>0</v>
      </c>
      <c r="DG995" s="19">
        <f t="shared" si="163"/>
        <v>0</v>
      </c>
      <c r="DH995" s="20">
        <f t="shared" si="164"/>
        <v>0</v>
      </c>
      <c r="DI995" s="20">
        <f t="shared" si="165"/>
        <v>0</v>
      </c>
    </row>
    <row r="996" spans="80:113" x14ac:dyDescent="0.3">
      <c r="CB996" s="18"/>
      <c r="CC996" s="19"/>
      <c r="CD996" s="19"/>
      <c r="CE996" s="19"/>
      <c r="CF996" s="19"/>
      <c r="CG996" s="19"/>
      <c r="CH996" s="19"/>
      <c r="CI996" s="18"/>
      <c r="CJ996" s="18"/>
      <c r="CN996" s="18"/>
      <c r="CO996" s="19"/>
      <c r="CP996" s="19"/>
      <c r="CQ996" s="19"/>
      <c r="CR996" s="19"/>
      <c r="CS996" s="19"/>
      <c r="CT996" s="19"/>
      <c r="CU996" s="20"/>
      <c r="CV996" s="20"/>
      <c r="DA996" s="18">
        <f t="shared" si="157"/>
        <v>0</v>
      </c>
      <c r="DB996" s="19">
        <f t="shared" si="158"/>
        <v>0</v>
      </c>
      <c r="DC996" s="19">
        <f t="shared" si="159"/>
        <v>0</v>
      </c>
      <c r="DD996" s="19">
        <f t="shared" si="160"/>
        <v>0</v>
      </c>
      <c r="DE996" s="19">
        <f t="shared" si="161"/>
        <v>0</v>
      </c>
      <c r="DF996" s="19">
        <f t="shared" si="162"/>
        <v>0</v>
      </c>
      <c r="DG996" s="19">
        <f t="shared" si="163"/>
        <v>0</v>
      </c>
      <c r="DH996" s="20">
        <f t="shared" si="164"/>
        <v>0</v>
      </c>
      <c r="DI996" s="20">
        <f t="shared" si="165"/>
        <v>0</v>
      </c>
    </row>
    <row r="997" spans="80:113" x14ac:dyDescent="0.3">
      <c r="CB997" s="18"/>
      <c r="CC997" s="19"/>
      <c r="CD997" s="19"/>
      <c r="CE997" s="19"/>
      <c r="CF997" s="19"/>
      <c r="CG997" s="19"/>
      <c r="CH997" s="19"/>
      <c r="CI997" s="18"/>
      <c r="CJ997" s="18"/>
      <c r="CN997" s="18"/>
      <c r="CO997" s="19"/>
      <c r="CP997" s="19"/>
      <c r="CQ997" s="19"/>
      <c r="CR997" s="19"/>
      <c r="CS997" s="19"/>
      <c r="CT997" s="19"/>
      <c r="CU997" s="20"/>
      <c r="CV997" s="20"/>
      <c r="DA997" s="18">
        <f t="shared" si="157"/>
        <v>0</v>
      </c>
      <c r="DB997" s="19">
        <f t="shared" si="158"/>
        <v>0</v>
      </c>
      <c r="DC997" s="19">
        <f t="shared" si="159"/>
        <v>0</v>
      </c>
      <c r="DD997" s="19">
        <f t="shared" si="160"/>
        <v>0</v>
      </c>
      <c r="DE997" s="19">
        <f t="shared" si="161"/>
        <v>0</v>
      </c>
      <c r="DF997" s="19">
        <f t="shared" si="162"/>
        <v>0</v>
      </c>
      <c r="DG997" s="19">
        <f t="shared" si="163"/>
        <v>0</v>
      </c>
      <c r="DH997" s="20">
        <f t="shared" si="164"/>
        <v>0</v>
      </c>
      <c r="DI997" s="20">
        <f t="shared" si="165"/>
        <v>0</v>
      </c>
    </row>
    <row r="998" spans="80:113" x14ac:dyDescent="0.3">
      <c r="CB998" s="18"/>
      <c r="CC998" s="19"/>
      <c r="CD998" s="19"/>
      <c r="CE998" s="19"/>
      <c r="CF998" s="19"/>
      <c r="CG998" s="19"/>
      <c r="CH998" s="19"/>
      <c r="CI998" s="18"/>
      <c r="CJ998" s="18"/>
      <c r="CN998" s="18"/>
      <c r="CO998" s="19"/>
      <c r="CP998" s="19"/>
      <c r="CQ998" s="19"/>
      <c r="CR998" s="19"/>
      <c r="CS998" s="19"/>
      <c r="CT998" s="19"/>
      <c r="CU998" s="20"/>
      <c r="CV998" s="20"/>
      <c r="DA998" s="18">
        <f t="shared" si="157"/>
        <v>0</v>
      </c>
      <c r="DB998" s="19">
        <f t="shared" si="158"/>
        <v>0</v>
      </c>
      <c r="DC998" s="19">
        <f t="shared" si="159"/>
        <v>0</v>
      </c>
      <c r="DD998" s="19">
        <f t="shared" si="160"/>
        <v>0</v>
      </c>
      <c r="DE998" s="19">
        <f t="shared" si="161"/>
        <v>0</v>
      </c>
      <c r="DF998" s="19">
        <f t="shared" si="162"/>
        <v>0</v>
      </c>
      <c r="DG998" s="19">
        <f t="shared" si="163"/>
        <v>0</v>
      </c>
      <c r="DH998" s="20">
        <f t="shared" si="164"/>
        <v>0</v>
      </c>
      <c r="DI998" s="20">
        <f t="shared" si="165"/>
        <v>0</v>
      </c>
    </row>
    <row r="999" spans="80:113" x14ac:dyDescent="0.3">
      <c r="CB999" s="18"/>
      <c r="CC999" s="19"/>
      <c r="CD999" s="19"/>
      <c r="CE999" s="19"/>
      <c r="CF999" s="19"/>
      <c r="CG999" s="19"/>
      <c r="CH999" s="19"/>
      <c r="CI999" s="18"/>
      <c r="CJ999" s="18"/>
      <c r="CN999" s="18"/>
      <c r="CO999" s="19"/>
      <c r="CP999" s="19"/>
      <c r="CQ999" s="19"/>
      <c r="CR999" s="19"/>
      <c r="CS999" s="19"/>
      <c r="CT999" s="19"/>
      <c r="CU999" s="20"/>
      <c r="CV999" s="20"/>
      <c r="DA999" s="18">
        <f t="shared" si="157"/>
        <v>0</v>
      </c>
      <c r="DB999" s="19">
        <f t="shared" si="158"/>
        <v>0</v>
      </c>
      <c r="DC999" s="19">
        <f t="shared" si="159"/>
        <v>0</v>
      </c>
      <c r="DD999" s="19">
        <f t="shared" si="160"/>
        <v>0</v>
      </c>
      <c r="DE999" s="19">
        <f t="shared" si="161"/>
        <v>0</v>
      </c>
      <c r="DF999" s="19">
        <f t="shared" si="162"/>
        <v>0</v>
      </c>
      <c r="DG999" s="19">
        <f t="shared" si="163"/>
        <v>0</v>
      </c>
      <c r="DH999" s="20">
        <f t="shared" si="164"/>
        <v>0</v>
      </c>
      <c r="DI999" s="20">
        <f t="shared" si="165"/>
        <v>0</v>
      </c>
    </row>
    <row r="1000" spans="80:113" x14ac:dyDescent="0.3">
      <c r="CB1000" s="18"/>
      <c r="CC1000" s="19"/>
      <c r="CD1000" s="19"/>
      <c r="CE1000" s="19"/>
      <c r="CF1000" s="19"/>
      <c r="CG1000" s="19"/>
      <c r="CH1000" s="19"/>
      <c r="CI1000" s="18"/>
      <c r="CJ1000" s="18"/>
      <c r="CN1000" s="18"/>
      <c r="CO1000" s="19"/>
      <c r="CP1000" s="19"/>
      <c r="CQ1000" s="19"/>
      <c r="CR1000" s="19"/>
      <c r="CS1000" s="19"/>
      <c r="CT1000" s="19"/>
      <c r="CU1000" s="20"/>
      <c r="CV1000" s="20"/>
      <c r="DA1000" s="18">
        <f t="shared" si="157"/>
        <v>0</v>
      </c>
      <c r="DB1000" s="19">
        <f t="shared" si="158"/>
        <v>0</v>
      </c>
      <c r="DC1000" s="19">
        <f t="shared" si="159"/>
        <v>0</v>
      </c>
      <c r="DD1000" s="19">
        <f t="shared" si="160"/>
        <v>0</v>
      </c>
      <c r="DE1000" s="19">
        <f t="shared" si="161"/>
        <v>0</v>
      </c>
      <c r="DF1000" s="19">
        <f t="shared" si="162"/>
        <v>0</v>
      </c>
      <c r="DG1000" s="19">
        <f t="shared" si="163"/>
        <v>0</v>
      </c>
      <c r="DH1000" s="20">
        <f t="shared" si="164"/>
        <v>0</v>
      </c>
      <c r="DI1000" s="20">
        <f t="shared" si="165"/>
        <v>0</v>
      </c>
    </row>
    <row r="1001" spans="80:113" x14ac:dyDescent="0.3">
      <c r="CB1001" s="18"/>
      <c r="CC1001" s="19"/>
      <c r="CD1001" s="19"/>
      <c r="CE1001" s="19"/>
      <c r="CF1001" s="19"/>
      <c r="CG1001" s="19"/>
      <c r="CH1001" s="19"/>
      <c r="CI1001" s="18"/>
      <c r="CJ1001" s="18"/>
      <c r="CN1001" s="18"/>
      <c r="CO1001" s="19"/>
      <c r="CP1001" s="19"/>
      <c r="CQ1001" s="19"/>
      <c r="CR1001" s="19"/>
      <c r="CS1001" s="19"/>
      <c r="CT1001" s="19"/>
      <c r="CU1001" s="20"/>
      <c r="CV1001" s="20"/>
      <c r="DA1001" s="18">
        <f t="shared" si="157"/>
        <v>0</v>
      </c>
      <c r="DB1001" s="19">
        <f t="shared" si="158"/>
        <v>0</v>
      </c>
      <c r="DC1001" s="19">
        <f t="shared" si="159"/>
        <v>0</v>
      </c>
      <c r="DD1001" s="19">
        <f t="shared" si="160"/>
        <v>0</v>
      </c>
      <c r="DE1001" s="19">
        <f t="shared" si="161"/>
        <v>0</v>
      </c>
      <c r="DF1001" s="19">
        <f t="shared" si="162"/>
        <v>0</v>
      </c>
      <c r="DG1001" s="19">
        <f t="shared" si="163"/>
        <v>0</v>
      </c>
      <c r="DH1001" s="20">
        <f t="shared" si="164"/>
        <v>0</v>
      </c>
      <c r="DI1001" s="20">
        <f t="shared" si="165"/>
        <v>0</v>
      </c>
    </row>
  </sheetData>
  <mergeCells count="11">
    <mergeCell ref="AZ33:BE33"/>
    <mergeCell ref="BY1:BZ1"/>
    <mergeCell ref="AS1:BA1"/>
    <mergeCell ref="BD1:BL1"/>
    <mergeCell ref="A1:N2"/>
    <mergeCell ref="AS23:BA23"/>
    <mergeCell ref="BD23:BL23"/>
    <mergeCell ref="BQ1:BS1"/>
    <mergeCell ref="AY29:BG29"/>
    <mergeCell ref="B31:C31"/>
    <mergeCell ref="D31:E31"/>
  </mergeCells>
  <phoneticPr fontId="1" type="noConversion"/>
  <pageMargins left="0.7" right="0.7" top="0.75" bottom="0.75" header="0.3" footer="0.3"/>
  <pageSetup orientation="portrait" horizontalDpi="0" verticalDpi="0" r:id="rId1"/>
  <headerFooter>
    <oddHeader>&amp;C&amp;"Calibri"&amp;12&amp;KEEDC00 RMIT Classification: Trusted&amp;1#_x000D_</oddHeader>
  </headerFooter>
  <drawing r:id="rId2"/>
  <legacyDrawing r:id="rId3"/>
  <controls>
    <mc:AlternateContent xmlns:mc="http://schemas.openxmlformats.org/markup-compatibility/2006">
      <mc:Choice Requires="x14">
        <control shapeId="1030" r:id="rId4" name="CheckBox1">
          <controlPr defaultSize="0" autoLine="0" autoPict="0" r:id="rId5">
            <anchor moveWithCells="1">
              <from>
                <xdr:col>7</xdr:col>
                <xdr:colOff>95250</xdr:colOff>
                <xdr:row>8</xdr:row>
                <xdr:rowOff>152400</xdr:rowOff>
              </from>
              <to>
                <xdr:col>9</xdr:col>
                <xdr:colOff>520700</xdr:colOff>
                <xdr:row>12</xdr:row>
                <xdr:rowOff>6350</xdr:rowOff>
              </to>
            </anchor>
          </controlPr>
        </control>
      </mc:Choice>
      <mc:Fallback>
        <control shapeId="1030" r:id="rId4" name="CheckBox1"/>
      </mc:Fallback>
    </mc:AlternateContent>
    <mc:AlternateContent xmlns:mc="http://schemas.openxmlformats.org/markup-compatibility/2006">
      <mc:Choice Requires="x14">
        <control shapeId="1025" r:id="rId6" name="Option Button 1">
          <controlPr defaultSize="0" autoFill="0" autoLine="0" autoPict="0">
            <anchor moveWithCells="1">
              <from>
                <xdr:col>2</xdr:col>
                <xdr:colOff>228600</xdr:colOff>
                <xdr:row>9</xdr:row>
                <xdr:rowOff>107950</xdr:rowOff>
              </from>
              <to>
                <xdr:col>2</xdr:col>
                <xdr:colOff>1079500</xdr:colOff>
                <xdr:row>12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Option Button 2">
          <controlPr defaultSize="0" autoFill="0" autoLine="0" autoPict="0">
            <anchor moveWithCells="1">
              <from>
                <xdr:col>2</xdr:col>
                <xdr:colOff>1828800</xdr:colOff>
                <xdr:row>9</xdr:row>
                <xdr:rowOff>165100</xdr:rowOff>
              </from>
              <to>
                <xdr:col>2</xdr:col>
                <xdr:colOff>2895600</xdr:colOff>
                <xdr:row>12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Scroll Bar 4">
          <controlPr defaultSize="0" autoPict="0">
            <anchor moveWithCells="1">
              <from>
                <xdr:col>2</xdr:col>
                <xdr:colOff>0</xdr:colOff>
                <xdr:row>7</xdr:row>
                <xdr:rowOff>19050</xdr:rowOff>
              </from>
              <to>
                <xdr:col>2</xdr:col>
                <xdr:colOff>3238500</xdr:colOff>
                <xdr:row>8</xdr:row>
                <xdr:rowOff>101600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Sheet1.random">
            <anchor moveWithCells="1" sizeWithCells="1">
              <from>
                <xdr:col>7</xdr:col>
                <xdr:colOff>95250</xdr:colOff>
                <xdr:row>4</xdr:row>
                <xdr:rowOff>171450</xdr:rowOff>
              </from>
              <to>
                <xdr:col>9</xdr:col>
                <xdr:colOff>603250</xdr:colOff>
                <xdr:row>8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Button 7">
          <controlPr defaultSize="0" print="0" autoFill="0" autoPict="0" macro="[0]!Sheet1.Generate_Efficient_Frontier">
            <anchor moveWithCells="1" sizeWithCells="1">
              <from>
                <xdr:col>6</xdr:col>
                <xdr:colOff>533400</xdr:colOff>
                <xdr:row>4</xdr:row>
                <xdr:rowOff>190500</xdr:rowOff>
              </from>
              <to>
                <xdr:col>6</xdr:col>
                <xdr:colOff>2717800</xdr:colOff>
                <xdr:row>7</xdr:row>
                <xdr:rowOff>152400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Portfolio 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Chai</dc:creator>
  <cp:lastModifiedBy>Akhileshwaran Bharatarajan</cp:lastModifiedBy>
  <dcterms:created xsi:type="dcterms:W3CDTF">2024-04-05T06:38:18Z</dcterms:created>
  <dcterms:modified xsi:type="dcterms:W3CDTF">2025-04-30T07:37:31Z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3d088b-6243-4963-a2e2-8b321ab7f8fc_Enabled">
    <vt:lpwstr>true</vt:lpwstr>
  </property>
  <property fmtid="{D5CDD505-2E9C-101B-9397-08002B2CF9AE}" pid="3" name="MSIP_Label_8c3d088b-6243-4963-a2e2-8b321ab7f8fc_SetDate">
    <vt:lpwstr>2024-04-05T06:41:28Z</vt:lpwstr>
  </property>
  <property fmtid="{D5CDD505-2E9C-101B-9397-08002B2CF9AE}" pid="4" name="MSIP_Label_8c3d088b-6243-4963-a2e2-8b321ab7f8fc_Method">
    <vt:lpwstr>Standard</vt:lpwstr>
  </property>
  <property fmtid="{D5CDD505-2E9C-101B-9397-08002B2CF9AE}" pid="5" name="MSIP_Label_8c3d088b-6243-4963-a2e2-8b321ab7f8fc_Name">
    <vt:lpwstr>Trusted</vt:lpwstr>
  </property>
  <property fmtid="{D5CDD505-2E9C-101B-9397-08002B2CF9AE}" pid="6" name="MSIP_Label_8c3d088b-6243-4963-a2e2-8b321ab7f8fc_SiteId">
    <vt:lpwstr>d1323671-cdbe-4417-b4d4-bdb24b51316b</vt:lpwstr>
  </property>
  <property fmtid="{D5CDD505-2E9C-101B-9397-08002B2CF9AE}" pid="7" name="MSIP_Label_8c3d088b-6243-4963-a2e2-8b321ab7f8fc_ActionId">
    <vt:lpwstr>bd90d5f4-8b8e-4d88-9bac-5bbf0c564e80</vt:lpwstr>
  </property>
  <property fmtid="{D5CDD505-2E9C-101B-9397-08002B2CF9AE}" pid="8" name="MSIP_Label_8c3d088b-6243-4963-a2e2-8b321ab7f8fc_ContentBits">
    <vt:lpwstr>1</vt:lpwstr>
  </property>
</Properties>
</file>